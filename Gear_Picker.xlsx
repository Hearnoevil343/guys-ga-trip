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'Options'!$A$1:$S$154</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17058/kelty-late-start-1p-tent" TargetMode="External" Id="rId4" /><Relationship Type="http://schemas.openxmlformats.org/officeDocument/2006/relationships/hyperlink" Target="https://www.rei.com/product/246230/msr-elixir-1-tent-with-footprint" TargetMode="External" Id="rId5" /><Relationship Type="http://schemas.openxmlformats.org/officeDocument/2006/relationships/hyperlink" Target="https://www.rei.com/product/C01602/nemo-dragonfly-osmo-1p-ultralight-backpacking-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www.amazon.com/dp/B0CWVSLQ4J"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247273/katadyn-befree-ac-10-l-water-filter-bottle"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walmart.com/ip/Equate-Travel-Kit-8-Piece-Plastics/831029303" TargetMode="External" Id="rId67" /><Relationship Type="http://schemas.openxmlformats.org/officeDocument/2006/relationships/hyperlink" Target="https://www.amazon.com/s?k=biodegradable+camp+wipes+travel+toiletry+kit" TargetMode="External" Id="rId68" /><Relationship Type="http://schemas.openxmlformats.org/officeDocument/2006/relationships/hyperlink" Target="https://www.rei.com/c/travel-toiletry-bags" TargetMode="External" Id="rId69" /><Relationship Type="http://schemas.openxmlformats.org/officeDocument/2006/relationships/hyperlink" Target="https://www.amazon.com/dp/B07C46QPTR" TargetMode="External" Id="rId70" /><Relationship Type="http://schemas.openxmlformats.org/officeDocument/2006/relationships/hyperlink" Target="https://www.amazon.com/dp/B07S4DRDNT" TargetMode="External" Id="rId71" /><Relationship Type="http://schemas.openxmlformats.org/officeDocument/2006/relationships/hyperlink" Target="https://www.rei.com/product/246033/black-diamond-distance-carbon-z-trekking-poles-pair" TargetMode="External" Id="rId72" /><Relationship Type="http://schemas.openxmlformats.org/officeDocument/2006/relationships/hyperlink" Target="https://www.amazon.com/Hit-Delights-Backpacking-Insulation-Lightweight/dp/B06XCWC6T9" TargetMode="External" Id="rId73" /><Relationship Type="http://schemas.openxmlformats.org/officeDocument/2006/relationships/hyperlink" Target="https://www.amazon.com/dp/B07MV959N6" TargetMode="External" Id="rId74" /><Relationship Type="http://schemas.openxmlformats.org/officeDocument/2006/relationships/hyperlink" Target="https://www.gossamergear.com/products/thinlight-foam-pad" TargetMode="External" Id="rId75" /><Relationship Type="http://schemas.openxmlformats.org/officeDocument/2006/relationships/hyperlink" Target="https://www.amazon.com/Alpine-Swiss-Sandals-Adjustable-Athletic/dp/B09G4P66R5" TargetMode="External" Id="rId76" /><Relationship Type="http://schemas.openxmlformats.org/officeDocument/2006/relationships/hyperlink" Target="https://www.crocs.com/p/classic-clog/10001.html" TargetMode="External" Id="rId77" /><Relationship Type="http://schemas.openxmlformats.org/officeDocument/2006/relationships/hyperlink" Target="https://www.rei.com/product/185226/xero-shoes-z-trail-ev-sandals-mens" TargetMode="External" Id="rId78" /><Relationship Type="http://schemas.openxmlformats.org/officeDocument/2006/relationships/hyperlink" Target="https://www.walmart.com/c/kp/trail-running-shoes" TargetMode="External" Id="rId79" /><Relationship Type="http://schemas.openxmlformats.org/officeDocument/2006/relationships/hyperlink" Target="https://www.rei.com/product/201989/merrell-moab-3-hiking-shoes-mens" TargetMode="External" Id="rId80" /><Relationship Type="http://schemas.openxmlformats.org/officeDocument/2006/relationships/hyperlink" Target="https://www.rei.com/product/241742/altra-lone-peak-9-trail-running-shoes-mens" TargetMode="External" Id="rId81" /><Relationship Type="http://schemas.openxmlformats.org/officeDocument/2006/relationships/hyperlink" Target="https://www.rei.com/product/165398/rei-co-op-merino-wool-lightweight-hiking-crew-socks" TargetMode="External" Id="rId82" /><Relationship Type="http://schemas.openxmlformats.org/officeDocument/2006/relationships/hyperlink" Target="https://www.rei.com/product/825037/darn-tough-hiker-micro-crew-cushion-socks-mens" TargetMode="External" Id="rId83" /><Relationship Type="http://schemas.openxmlformats.org/officeDocument/2006/relationships/hyperlink" Target="https://www.sealskinzusa.com/products/waterproof-all-weather-mid-length-sock" TargetMode="External" Id="rId84" /><Relationship Type="http://schemas.openxmlformats.org/officeDocument/2006/relationships/hyperlink" Target="https://www.columbia.com/p/mens-watertight-ii-jacket-1533891.html" TargetMode="External" Id="rId85" /><Relationship Type="http://schemas.openxmlformats.org/officeDocument/2006/relationships/hyperlink" Target="https://www.rei.com/product/227570/rei-co-op-rainier-rain-jacket-mens" TargetMode="External" Id="rId86" /><Relationship Type="http://schemas.openxmlformats.org/officeDocument/2006/relationships/hyperlink" Target="https://www.rei.com/product/166198/outdoor-research-helium-rain-jacket-mens" TargetMode="External" Id="rId87" /><Relationship Type="http://schemas.openxmlformats.org/officeDocument/2006/relationships/hyperlink" Target="https://www.decathlon.com/products/simond-mt100-hooded-down-puffer-jacket-167571" TargetMode="External" Id="rId88" /><Relationship Type="http://schemas.openxmlformats.org/officeDocument/2006/relationships/hyperlink" Target="https://www.patagonia.com/product/mens-nano-puff-insulated-jacket/84212.html" TargetMode="External" Id="rId89" /><Relationship Type="http://schemas.openxmlformats.org/officeDocument/2006/relationships/hyperlink" Target="https://enlightenedequipment.com/mens-torrid-jacket/" TargetMode="External" Id="rId90" /><Relationship Type="http://schemas.openxmlformats.org/officeDocument/2006/relationships/hyperlink" Target="https://www.decathlon.com/products/mens-hiking-fleece-mh100-312361" TargetMode="External" Id="rId91" /><Relationship Type="http://schemas.openxmlformats.org/officeDocument/2006/relationships/hyperlink" Target="https://senchidesigns.com/products/a90-half-zip-hoodie" TargetMode="External" Id="rId92" /><Relationship Type="http://schemas.openxmlformats.org/officeDocument/2006/relationships/hyperlink" Target="https://gearjunkie.com/apparel/best-midlayers-jackets" TargetMode="External" Id="rId93" /><Relationship Type="http://schemas.openxmlformats.org/officeDocument/2006/relationships/hyperlink" Target="https://merino.tech/products/men-250-base-layer-set-wool-clothing" TargetMode="External" Id="rId94" /><Relationship Type="http://schemas.openxmlformats.org/officeDocument/2006/relationships/hyperlink" Target="https://www.rei.com/product/174769/smartwool-classic-thermal-merino-crew-base-layer-top-mens" TargetMode="External" Id="rId95" /><Relationship Type="http://schemas.openxmlformats.org/officeDocument/2006/relationships/hyperlink" Target="https://www.rei.com/product/139520/icebreaker-200-oasis-half-zip-base-layer-top-mens" TargetMode="External" Id="rId96" /><Relationship Type="http://schemas.openxmlformats.org/officeDocument/2006/relationships/hyperlink" Target="https://www.rei.com/product/236137/rei-co-op-trailmade-pants-mens" TargetMode="External" Id="rId97" /><Relationship Type="http://schemas.openxmlformats.org/officeDocument/2006/relationships/hyperlink" Target="https://www.rei.com/product/244516/outdoor-research-ferrosi-pants-mens" TargetMode="External" Id="rId98" /><Relationship Type="http://schemas.openxmlformats.org/officeDocument/2006/relationships/hyperlink" Target="https://www.rei.com/product/134025/prana-stretch-zion-straight-pants-mens" TargetMode="External" Id="rId99" /><Relationship Type="http://schemas.openxmlformats.org/officeDocument/2006/relationships/hyperlink" Target="https://www.amazon.com/Wmcaps-Winter-Beanie-Hats-for-Men-Women-Fleece-Lined-Beanie-Soft-Warm-Knit-Hat-Ski-Stocking-Cuffed-Cap/dp/B0BBZZZH84" TargetMode="External" Id="rId100" /><Relationship Type="http://schemas.openxmlformats.org/officeDocument/2006/relationships/hyperlink" Target="https://www.farpointeog.com/stock/p/alpha-caps" TargetMode="External" Id="rId101" /><Relationship Type="http://schemas.openxmlformats.org/officeDocument/2006/relationships/hyperlink" Target="https://www.rei.com/product/217179/smartwool-merino-250-reversible-pattern-cuffed-beanie" TargetMode="External" Id="rId102" /><Relationship Type="http://schemas.openxmlformats.org/officeDocument/2006/relationships/hyperlink" Target="https://www.walmart.com/ip/SUCUUI-3-Pairs-Wool-Winter-Gloves-Men-Women-Thick-Wool-Fleece-Liner-Thermal-Knit-Touchscreen-Elastic-Cuff-Insulated-Gloves-for-Cold-Weather-Gifts/17509322663" TargetMode="External" Id="rId103" /><Relationship Type="http://schemas.openxmlformats.org/officeDocument/2006/relationships/hyperlink" Target="https://www.rei.com/product/C08576/outdoor-research-trail-mix-xt-gloves-mens" TargetMode="External" Id="rId104" /><Relationship Type="http://schemas.openxmlformats.org/officeDocument/2006/relationships/hyperlink" Target="https://opossumworld.com/collections/mens-gloves/possum-merino" TargetMode="External" Id="rId105" /><Relationship Type="http://schemas.openxmlformats.org/officeDocument/2006/relationships/hyperlink" Target="https://www.walmart.com/c/kp/orange-hunting-vests" TargetMode="External" Id="rId106" /><Relationship Type="http://schemas.openxmlformats.org/officeDocument/2006/relationships/hyperlink" Target="https://www.walmart.com/ip/Allen-Company-Deluxe-Blaze-Orange-Safety-Hunting-Vest-Medium/956427108" TargetMode="External" Id="rId107" /><Relationship Type="http://schemas.openxmlformats.org/officeDocument/2006/relationships/hyperlink" Target="https://www.amazon.com/Vortex-Optics-Blaze-Orange-Hunting/dp/B0DW3MXC12" TargetMode="External" Id="rId108" /><Relationship Type="http://schemas.openxmlformats.org/officeDocument/2006/relationships/hyperlink" Target="https://bikepacking.com/gear/ultralight-camp-shoes/" TargetMode="External" Id="rId109" /><Relationship Type="http://schemas.openxmlformats.org/officeDocument/2006/relationships/hyperlink" Target="https://www.crocs.com/p/classic-clog/10001.html" TargetMode="External" Id="rId110" /><Relationship Type="http://schemas.openxmlformats.org/officeDocument/2006/relationships/hyperlink" Target="https://bedrocksandals.com/products/cairn-evo" TargetMode="External" Id="rId111" /><Relationship Type="http://schemas.openxmlformats.org/officeDocument/2006/relationships/hyperlink" Target="https://glacieroutdoor.com/products/kenai-original" TargetMode="External" Id="rId112" /><Relationship Type="http://schemas.openxmlformats.org/officeDocument/2006/relationships/hyperlink" Target="https://glacieroutdoor.com/products/kenai-original" TargetMode="External" Id="rId113" /><Relationship Type="http://schemas.openxmlformats.org/officeDocument/2006/relationships/hyperlink" Target="https://www.highplainsprospectors.com/products/arctic-gauntlet-gloves-for-cold-water-wading" TargetMode="External" Id="rId114" /><Relationship Type="http://schemas.openxmlformats.org/officeDocument/2006/relationships/hyperlink" Target="https://www.walmart.com/ip/17778063384" TargetMode="External" Id="rId115" /><Relationship Type="http://schemas.openxmlformats.org/officeDocument/2006/relationships/hyperlink" Target="https://www.amazon.com/Fans-Neoprene-Wading-Socks-Fishing/dp/B0DW8VW4HY" TargetMode="External" Id="rId116" /><Relationship Type="http://schemas.openxmlformats.org/officeDocument/2006/relationships/hyperlink" Target="https://korkers.com/products/i-drain-neoprene-guard-socks-3-5mm-deyoung-brown-flank" TargetMode="External" Id="rId117" /><Relationship Type="http://schemas.openxmlformats.org/officeDocument/2006/relationships/hyperlink" Target="https://www.treasurenet.com/threads/prospecting-gloves-advice.379227/" TargetMode="External" Id="rId118" /><Relationship Type="http://schemas.openxmlformats.org/officeDocument/2006/relationships/hyperlink" Target="https://www.amazon.com/Frogg-Toggs-Canyon-Breathable-Stockingfoot/dp/B07FKMB1DB" TargetMode="External" Id="rId119" /><Relationship Type="http://schemas.openxmlformats.org/officeDocument/2006/relationships/hyperlink" Target="https://fishwest.com/products/simms-tributary-stockingfoot-waders-mens" TargetMode="External" Id="rId120" /><Relationship Type="http://schemas.openxmlformats.org/officeDocument/2006/relationships/hyperlink" Target="https://www.amazon.com/gp/product/B01L379FPE" TargetMode="External" Id="rId121" /><Relationship Type="http://schemas.openxmlformats.org/officeDocument/2006/relationships/hyperlink" Target="https://www.amazon.com/NoCry-Home-Gardening-Knee-Pads/dp/B06XJ2BFW7" TargetMode="External" Id="rId122" /><Relationship Type="http://schemas.openxmlformats.org/officeDocument/2006/relationships/hyperlink" Target="https://forums.robsdetectors.com/topic/11798-best-knee-pads-ever/" TargetMode="External" Id="rId123" /><Relationship Type="http://schemas.openxmlformats.org/officeDocument/2006/relationships/hyperlink" Target="https://toolup.com/products/estwing-bp-14-14-black-plastic-gold-pan-9-oz" TargetMode="External" Id="rId124" /><Relationship Type="http://schemas.openxmlformats.org/officeDocument/2006/relationships/hyperlink" Target="https://garrett.com/garrett-14-gold-trap-pan/" TargetMode="External" Id="rId125" /><Relationship Type="http://schemas.openxmlformats.org/officeDocument/2006/relationships/hyperlink" Target="https://www.ebay.com/p/13011376003" TargetMode="External" Id="rId126" /><Relationship Type="http://schemas.openxmlformats.org/officeDocument/2006/relationships/hyperlink" Target="https://asroutdoor.com/products/half-inch-plastic-sifting-screen-classifier-4-holes-per-square-inch" TargetMode="External" Id="rId127" /><Relationship Type="http://schemas.openxmlformats.org/officeDocument/2006/relationships/hyperlink" Target="https://www.walmart.com/ip/ASR-Outdoor-Gold-Panning-Classifier-Set-Mesh-Soil-Sifter-Coarse-Combo-1-2-1-4-1-8-Inch-Mesh/585755027"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highplainsprospectors.com/collections/gold-prospecting/vials-snuffer-bottles" TargetMode="External" Id="rId130" /><Relationship Type="http://schemas.openxmlformats.org/officeDocument/2006/relationships/hyperlink" Target="https://www.amazon.com/Mining-Clean-Snuffer-Suction-Tweezers/dp/B01NBXHLVA" TargetMode="External" Id="rId131" /><Relationship Type="http://schemas.openxmlformats.org/officeDocument/2006/relationships/hyperlink" Target="https://www.goldfeverprospecting.com/clscandsi.html" TargetMode="External" Id="rId132" /><Relationship Type="http://schemas.openxmlformats.org/officeDocument/2006/relationships/hyperlink" Target="https://www.amazon.com/ASR-Outdoor-Precision-Prospecting-Crevice/dp/B09YCDQPL6" TargetMode="External" Id="rId133" /><Relationship Type="http://schemas.openxmlformats.org/officeDocument/2006/relationships/hyperlink" Target="https://www.amazon.com/Gold-Digger-Ultimate-Prospecting-Crevice/dp/B0HFKW1ZG4" TargetMode="External" Id="rId134" /><Relationship Type="http://schemas.openxmlformats.org/officeDocument/2006/relationships/hyperlink" Target="https://garrett.com/garrett-14-gold-trap-pan/" TargetMode="External" Id="rId135" /><Relationship Type="http://schemas.openxmlformats.org/officeDocument/2006/relationships/hyperlink" Target="https://www.highplainsprospectors.com/collections/gold-prospecting/vials-snuffer-bottles" TargetMode="External" Id="rId136" /><Relationship Type="http://schemas.openxmlformats.org/officeDocument/2006/relationships/hyperlink" Target="https://www.amazon.com/ASR-Outdoor-Flake-Collection-Vials/dp/B010YGC7DM" TargetMode="External" Id="rId137" /><Relationship Type="http://schemas.openxmlformats.org/officeDocument/2006/relationships/hyperlink" Target="https://www.highplainsprospectors.com/collections/gold-prospecting/vials-snuffer-bottles" TargetMode="External" Id="rId138" /><Relationship Type="http://schemas.openxmlformats.org/officeDocument/2006/relationships/hyperlink" Target="https://www.amazon.com/Keychain-Magnifier-Portable-Foldable-Magnifying/dp/B07RVF35W4" TargetMode="External" Id="rId139" /><Relationship Type="http://schemas.openxmlformats.org/officeDocument/2006/relationships/hyperlink" Target="https://www.amazon.com/JARLINK-Illuminated-Jewelers-Magnifier-Foldable/dp/B078N34WZR" TargetMode="External" Id="rId140" /><Relationship Type="http://schemas.openxmlformats.org/officeDocument/2006/relationships/hyperlink" Target="https://cooltools.us/products/loupe-triplet-10x" TargetMode="External" Id="rId141" /><Relationship Type="http://schemas.openxmlformats.org/officeDocument/2006/relationships/hyperlink" Target="https://www.walmart.com/ip/Fiskars-Indoor-and-More-Garden-Trowel-Soil-Scoop-Black/5371466767" TargetMode="External" Id="rId142" /><Relationship Type="http://schemas.openxmlformats.org/officeDocument/2006/relationships/hyperlink" Target="https://www.thetentlab.com/Deuce/DeuceofSpadespage.html" TargetMode="External" Id="rId143" /><Relationship Type="http://schemas.openxmlformats.org/officeDocument/2006/relationships/hyperlink" Target="https://www.goldfeverprospecting.com/clscandsi.html" TargetMode="External" Id="rId144" /><Relationship Type="http://schemas.openxmlformats.org/officeDocument/2006/relationships/hyperlink" Target="https://www.homedepot.com/" TargetMode="External" Id="rId145" /><Relationship Type="http://schemas.openxmlformats.org/officeDocument/2006/relationships/hyperlink" Target="https://www.highplainsprospectors.com/collections/classifiers-new/gold-panning-kits" TargetMode="External" Id="rId146" /><Relationship Type="http://schemas.openxmlformats.org/officeDocument/2006/relationships/hyperlink" Target="https://www.highplainsprospectors.com/collections/classifiers-new/gold-panning-kits" TargetMode="External" Id="rId147" /><Relationship Type="http://schemas.openxmlformats.org/officeDocument/2006/relationships/hyperlink" Target="https://toolup.com/products/estwing-bp-14-14-black-plastic-gold-pan-9-oz" TargetMode="External" Id="rId148" /><Relationship Type="http://schemas.openxmlformats.org/officeDocument/2006/relationships/hyperlink" Target="https://www.amazon.com/Complete-Sluice-Equipment-Prospecting-Magnifier/dp/B0DBKVTLM7" TargetMode="External" Id="rId149" /><Relationship Type="http://schemas.openxmlformats.org/officeDocument/2006/relationships/hyperlink" Target="https://www.amazon.com/Garrett-Deluxe-Gold-Pan-Kit/dp/B01LZI4OWD" TargetMode="External" Id="rId150" /><Relationship Type="http://schemas.openxmlformats.org/officeDocument/2006/relationships/hyperlink" Target="https://www.rei.com/product/107474/marmot-trestles-30-sleeping-bag-mens" TargetMode="External" Id="rId151" /><Relationship Type="http://schemas.openxmlformats.org/officeDocument/2006/relationships/hyperlink" Target="https://enlightenedequipment.com/revelation-sleeping-quilt/" TargetMode="External" Id="rId152" /><Relationship Type="http://schemas.openxmlformats.org/officeDocument/2006/relationships/hyperlink" Target="https://katabaticgear.com/products/flex-30-ultralight-quilt" TargetMode="External" Id="rId153"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Jordan's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IFERROR(MATCH($C2&amp;"|"&amp;$E2,Options!$T$2:$T$174,0),"")</f>
        <v/>
      </c>
      <c r="G2" s="11">
        <f>IF(OR($E2="Skip",$E2=""),"(skipped)",IF($E2="Own","(own gear)",IFERROR(INDEX(Options!$D$2:$D$174,$F2)&amp;" -- "&amp;INDEX(Options!$E$2:$E$174,$F2),"?")))</f>
        <v/>
      </c>
      <c r="H2" s="12">
        <f>IF($E2="Own",N($J2),IF(OR($E2="Skip",$E2=""),0,IFERROR(INDEX(Options!$F$2:$F$174,$F2)/INDEX(Options!$R$2:$R$174,$F2),0)))</f>
        <v/>
      </c>
      <c r="I2" s="13">
        <f>IF($E2="Own",0,IF(OR($E2="Skip",$E2=""),0,IFERROR(INDEX(Options!$H$2:$H$174,$F2)/INDEX(Options!$R$2:$R$174,$F2),0)))</f>
        <v/>
      </c>
      <c r="J2" s="12" t="n"/>
      <c r="K2" s="10">
        <f>IF(OR($E2="Skip",$E2="Own",$E2=""),"",IFERROR(HYPERLINK(INDEX(Options!$I$2:$I$174,$F2),"buy link"),""))</f>
        <v/>
      </c>
      <c r="L2" s="11">
        <f>IF(OR($E2="Skip",$E2="Own",$E2=""),"",IFERROR(LEFT(INDEX(Options!$L$2:$L$174,$F2),140),""))</f>
        <v/>
      </c>
      <c r="M2" s="11">
        <f>IF(OR($E2="Skip",$E2="Own",$E2=""),"",IFERROR(INDEX(Options!$S$2:$S$174,$F2),""))</f>
        <v/>
      </c>
      <c r="N2">
        <f>IFERROR(INDEX(Options!$F$2:$F$174,MATCH($C2&amp;"|Budget",Options!$T$2:$T$174,0))/INDEX(Options!$R$2:$R$174,MATCH($C2&amp;"|Budget",Options!$T$2:$T$174,0)),0)</f>
        <v/>
      </c>
      <c r="O2">
        <f>IFERROR(INDEX(Options!$H$2:$H$174,MATCH($C2&amp;"|Budget",Options!$T$2:$T$174,0))/INDEX(Options!$R$2:$R$174,MATCH($C2&amp;"|Budget",Options!$T$2:$T$174,0)),0)</f>
        <v/>
      </c>
      <c r="P2">
        <f>IFERROR(INDEX(Options!$F$2:$F$174,MATCH($C2&amp;"|Value",Options!$T$2:$T$174,0))/INDEX(Options!$R$2:$R$174,MATCH($C2&amp;"|Value",Options!$T$2:$T$174,0)),0)</f>
        <v/>
      </c>
      <c r="Q2">
        <f>IFERROR(INDEX(Options!$H$2:$H$174,MATCH($C2&amp;"|Value",Options!$T$2:$T$174,0))/INDEX(Options!$R$2:$R$174,MATCH($C2&amp;"|Value",Options!$T$2:$T$174,0)),0)</f>
        <v/>
      </c>
      <c r="R2">
        <f>IFERROR(INDEX(Options!$F$2:$F$174,MATCH($C2&amp;"|Premium",Options!$T$2:$T$174,0))/INDEX(Options!$R$2:$R$174,MATCH($C2&amp;"|Premium",Options!$T$2:$T$174,0)),0)</f>
        <v/>
      </c>
      <c r="S2">
        <f>IFERROR(INDEX(Options!$H$2:$H$174,MATCH($C2&amp;"|Premium",Options!$T$2:$T$174,0))/INDEX(Options!$R$2:$R$174,MATCH($C2&amp;"|Premium",Options!$T$2:$T$174,0)),0)</f>
        <v/>
      </c>
    </row>
    <row r="3">
      <c r="A3" s="10" t="inlineStr">
        <is>
          <t>Worn</t>
        </is>
      </c>
      <c r="B3" s="10" t="inlineStr">
        <is>
          <t>Hiking socks, per pair (bring 3)</t>
        </is>
      </c>
      <c r="C3" s="10" t="inlineStr">
        <is>
          <t>hiking_socks</t>
        </is>
      </c>
      <c r="D3" s="10" t="inlineStr">
        <is>
          <t>must</t>
        </is>
      </c>
      <c r="E3" s="10" t="inlineStr">
        <is>
          <t>Value</t>
        </is>
      </c>
      <c r="F3" s="10">
        <f>IFERROR(MATCH($C3&amp;"|"&amp;$E3,Options!$T$2:$T$174,0),"")</f>
        <v/>
      </c>
      <c r="G3" s="11">
        <f>IF(OR($E3="Skip",$E3=""),"(skipped)",IF($E3="Own","(own gear)",IFERROR(INDEX(Options!$D$2:$D$174,$F3)&amp;" -- "&amp;INDEX(Options!$E$2:$E$174,$F3),"?")))</f>
        <v/>
      </c>
      <c r="H3" s="12">
        <f>IF($E3="Own",N($J3),IF(OR($E3="Skip",$E3=""),0,IFERROR(INDEX(Options!$F$2:$F$174,$F3)/INDEX(Options!$R$2:$R$174,$F3),0)))</f>
        <v/>
      </c>
      <c r="I3" s="13">
        <f>IF($E3="Own",0,IF(OR($E3="Skip",$E3=""),0,IFERROR(INDEX(Options!$H$2:$H$174,$F3)/INDEX(Options!$R$2:$R$174,$F3),0)))</f>
        <v/>
      </c>
      <c r="J3" s="12" t="n"/>
      <c r="K3" s="10">
        <f>IF(OR($E3="Skip",$E3="Own",$E3=""),"",IFERROR(HYPERLINK(INDEX(Options!$I$2:$I$174,$F3),"buy link"),""))</f>
        <v/>
      </c>
      <c r="L3" s="11">
        <f>IF(OR($E3="Skip",$E3="Own",$E3=""),"",IFERROR(LEFT(INDEX(Options!$L$2:$L$174,$F3),140),""))</f>
        <v/>
      </c>
      <c r="M3" s="11">
        <f>IF(OR($E3="Skip",$E3="Own",$E3=""),"",IFERROR(INDEX(Options!$S$2:$S$174,$F3),""))</f>
        <v/>
      </c>
      <c r="N3">
        <f>IFERROR(INDEX(Options!$F$2:$F$174,MATCH($C3&amp;"|Budget",Options!$T$2:$T$174,0))/INDEX(Options!$R$2:$R$174,MATCH($C3&amp;"|Budget",Options!$T$2:$T$174,0)),0)</f>
        <v/>
      </c>
      <c r="O3">
        <f>IFERROR(INDEX(Options!$H$2:$H$174,MATCH($C3&amp;"|Budget",Options!$T$2:$T$174,0))/INDEX(Options!$R$2:$R$174,MATCH($C3&amp;"|Budget",Options!$T$2:$T$174,0)),0)</f>
        <v/>
      </c>
      <c r="P3">
        <f>IFERROR(INDEX(Options!$F$2:$F$174,MATCH($C3&amp;"|Value",Options!$T$2:$T$174,0))/INDEX(Options!$R$2:$R$174,MATCH($C3&amp;"|Value",Options!$T$2:$T$174,0)),0)</f>
        <v/>
      </c>
      <c r="Q3">
        <f>IFERROR(INDEX(Options!$H$2:$H$174,MATCH($C3&amp;"|Value",Options!$T$2:$T$174,0))/INDEX(Options!$R$2:$R$174,MATCH($C3&amp;"|Value",Options!$T$2:$T$174,0)),0)</f>
        <v/>
      </c>
      <c r="R3">
        <f>IFERROR(INDEX(Options!$F$2:$F$174,MATCH($C3&amp;"|Premium",Options!$T$2:$T$174,0))/INDEX(Options!$R$2:$R$174,MATCH($C3&amp;"|Premium",Options!$T$2:$T$174,0)),0)</f>
        <v/>
      </c>
      <c r="S3">
        <f>IFERROR(INDEX(Options!$H$2:$H$174,MATCH($C3&amp;"|Premium",Options!$T$2:$T$174,0))/INDEX(Options!$R$2:$R$174,MATCH($C3&amp;"|Premium",Options!$T$2:$T$174,0)),0)</f>
        <v/>
      </c>
    </row>
    <row r="4">
      <c r="A4" s="10" t="inlineStr">
        <is>
          <t>Worn</t>
        </is>
      </c>
      <c r="B4" s="10" t="inlineStr">
        <is>
          <t>Hiking pants (worn, no cotton)</t>
        </is>
      </c>
      <c r="C4" s="10" t="inlineStr">
        <is>
          <t>hiking_pants</t>
        </is>
      </c>
      <c r="D4" s="10" t="inlineStr">
        <is>
          <t>must</t>
        </is>
      </c>
      <c r="E4" s="10" t="inlineStr">
        <is>
          <t>Value</t>
        </is>
      </c>
      <c r="F4" s="10">
        <f>IFERROR(MATCH($C4&amp;"|"&amp;$E4,Options!$T$2:$T$174,0),"")</f>
        <v/>
      </c>
      <c r="G4" s="11">
        <f>IF(OR($E4="Skip",$E4=""),"(skipped)",IF($E4="Own","(own gear)",IFERROR(INDEX(Options!$D$2:$D$174,$F4)&amp;" -- "&amp;INDEX(Options!$E$2:$E$174,$F4),"?")))</f>
        <v/>
      </c>
      <c r="H4" s="12">
        <f>IF($E4="Own",N($J4),IF(OR($E4="Skip",$E4=""),0,IFERROR(INDEX(Options!$F$2:$F$174,$F4)/INDEX(Options!$R$2:$R$174,$F4),0)))</f>
        <v/>
      </c>
      <c r="I4" s="13">
        <f>IF($E4="Own",0,IF(OR($E4="Skip",$E4=""),0,IFERROR(INDEX(Options!$H$2:$H$174,$F4)/INDEX(Options!$R$2:$R$174,$F4),0)))</f>
        <v/>
      </c>
      <c r="J4" s="12" t="n"/>
      <c r="K4" s="10">
        <f>IF(OR($E4="Skip",$E4="Own",$E4=""),"",IFERROR(HYPERLINK(INDEX(Options!$I$2:$I$174,$F4),"buy link"),""))</f>
        <v/>
      </c>
      <c r="L4" s="11">
        <f>IF(OR($E4="Skip",$E4="Own",$E4=""),"",IFERROR(LEFT(INDEX(Options!$L$2:$L$174,$F4),140),""))</f>
        <v/>
      </c>
      <c r="M4" s="11">
        <f>IF(OR($E4="Skip",$E4="Own",$E4=""),"",IFERROR(INDEX(Options!$S$2:$S$174,$F4),""))</f>
        <v/>
      </c>
      <c r="N4">
        <f>IFERROR(INDEX(Options!$F$2:$F$174,MATCH($C4&amp;"|Budget",Options!$T$2:$T$174,0))/INDEX(Options!$R$2:$R$174,MATCH($C4&amp;"|Budget",Options!$T$2:$T$174,0)),0)</f>
        <v/>
      </c>
      <c r="O4">
        <f>IFERROR(INDEX(Options!$H$2:$H$174,MATCH($C4&amp;"|Budget",Options!$T$2:$T$174,0))/INDEX(Options!$R$2:$R$174,MATCH($C4&amp;"|Budget",Options!$T$2:$T$174,0)),0)</f>
        <v/>
      </c>
      <c r="P4">
        <f>IFERROR(INDEX(Options!$F$2:$F$174,MATCH($C4&amp;"|Value",Options!$T$2:$T$174,0))/INDEX(Options!$R$2:$R$174,MATCH($C4&amp;"|Value",Options!$T$2:$T$174,0)),0)</f>
        <v/>
      </c>
      <c r="Q4">
        <f>IFERROR(INDEX(Options!$H$2:$H$174,MATCH($C4&amp;"|Value",Options!$T$2:$T$174,0))/INDEX(Options!$R$2:$R$174,MATCH($C4&amp;"|Value",Options!$T$2:$T$174,0)),0)</f>
        <v/>
      </c>
      <c r="R4">
        <f>IFERROR(INDEX(Options!$F$2:$F$174,MATCH($C4&amp;"|Premium",Options!$T$2:$T$174,0))/INDEX(Options!$R$2:$R$174,MATCH($C4&amp;"|Premium",Options!$T$2:$T$174,0)),0)</f>
        <v/>
      </c>
      <c r="S4">
        <f>IFERROR(INDEX(Options!$H$2:$H$174,MATCH($C4&amp;"|Premium",Options!$T$2:$T$174,0))/INDEX(Options!$R$2:$R$174,MATCH($C4&amp;"|Premium",Options!$T$2:$T$174,0)),0)</f>
        <v/>
      </c>
    </row>
    <row r="5">
      <c r="A5" s="10" t="inlineStr">
        <is>
          <t>Worn</t>
        </is>
      </c>
      <c r="B5" s="10" t="inlineStr">
        <is>
          <t>Warm hat / beanie</t>
        </is>
      </c>
      <c r="C5" s="10" t="inlineStr">
        <is>
          <t>sun_warm_hat_beanie</t>
        </is>
      </c>
      <c r="D5" s="10" t="inlineStr">
        <is>
          <t>must</t>
        </is>
      </c>
      <c r="E5" s="10" t="inlineStr">
        <is>
          <t>Value</t>
        </is>
      </c>
      <c r="F5" s="10">
        <f>IFERROR(MATCH($C5&amp;"|"&amp;$E5,Options!$T$2:$T$174,0),"")</f>
        <v/>
      </c>
      <c r="G5" s="11">
        <f>IF(OR($E5="Skip",$E5=""),"(skipped)",IF($E5="Own","(own gear)",IFERROR(INDEX(Options!$D$2:$D$174,$F5)&amp;" -- "&amp;INDEX(Options!$E$2:$E$174,$F5),"?")))</f>
        <v/>
      </c>
      <c r="H5" s="12">
        <f>IF($E5="Own",N($J5),IF(OR($E5="Skip",$E5=""),0,IFERROR(INDEX(Options!$F$2:$F$174,$F5)/INDEX(Options!$R$2:$R$174,$F5),0)))</f>
        <v/>
      </c>
      <c r="I5" s="13">
        <f>IF($E5="Own",0,IF(OR($E5="Skip",$E5=""),0,IFERROR(INDEX(Options!$H$2:$H$174,$F5)/INDEX(Options!$R$2:$R$174,$F5),0)))</f>
        <v/>
      </c>
      <c r="J5" s="12" t="n"/>
      <c r="K5" s="10">
        <f>IF(OR($E5="Skip",$E5="Own",$E5=""),"",IFERROR(HYPERLINK(INDEX(Options!$I$2:$I$174,$F5),"buy link"),""))</f>
        <v/>
      </c>
      <c r="L5" s="11">
        <f>IF(OR($E5="Skip",$E5="Own",$E5=""),"",IFERROR(LEFT(INDEX(Options!$L$2:$L$174,$F5),140),""))</f>
        <v/>
      </c>
      <c r="M5" s="11">
        <f>IF(OR($E5="Skip",$E5="Own",$E5=""),"",IFERROR(INDEX(Options!$S$2:$S$174,$F5),""))</f>
        <v/>
      </c>
      <c r="N5">
        <f>IFERROR(INDEX(Options!$F$2:$F$174,MATCH($C5&amp;"|Budget",Options!$T$2:$T$174,0))/INDEX(Options!$R$2:$R$174,MATCH($C5&amp;"|Budget",Options!$T$2:$T$174,0)),0)</f>
        <v/>
      </c>
      <c r="O5">
        <f>IFERROR(INDEX(Options!$H$2:$H$174,MATCH($C5&amp;"|Budget",Options!$T$2:$T$174,0))/INDEX(Options!$R$2:$R$174,MATCH($C5&amp;"|Budget",Options!$T$2:$T$174,0)),0)</f>
        <v/>
      </c>
      <c r="P5">
        <f>IFERROR(INDEX(Options!$F$2:$F$174,MATCH($C5&amp;"|Value",Options!$T$2:$T$174,0))/INDEX(Options!$R$2:$R$174,MATCH($C5&amp;"|Value",Options!$T$2:$T$174,0)),0)</f>
        <v/>
      </c>
      <c r="Q5">
        <f>IFERROR(INDEX(Options!$H$2:$H$174,MATCH($C5&amp;"|Value",Options!$T$2:$T$174,0))/INDEX(Options!$R$2:$R$174,MATCH($C5&amp;"|Value",Options!$T$2:$T$174,0)),0)</f>
        <v/>
      </c>
      <c r="R5">
        <f>IFERROR(INDEX(Options!$F$2:$F$174,MATCH($C5&amp;"|Premium",Options!$T$2:$T$174,0))/INDEX(Options!$R$2:$R$174,MATCH($C5&amp;"|Premium",Options!$T$2:$T$174,0)),0)</f>
        <v/>
      </c>
      <c r="S5">
        <f>IFERROR(INDEX(Options!$H$2:$H$174,MATCH($C5&amp;"|Premium",Options!$T$2:$T$174,0))/INDEX(Options!$R$2:$R$174,MATCH($C5&amp;"|Premium",Options!$T$2:$T$174,0)),0)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IFERROR(MATCH($C6&amp;"|"&amp;$E6,Options!$T$2:$T$174,0),"")</f>
        <v/>
      </c>
      <c r="G6" s="11">
        <f>IF(OR($E6="Skip",$E6=""),"(skipped)",IF($E6="Own","(own gear)",IFERROR(INDEX(Options!$D$2:$D$174,$F6)&amp;" -- "&amp;INDEX(Options!$E$2:$E$174,$F6),"?")))</f>
        <v/>
      </c>
      <c r="H6" s="12">
        <f>IF($E6="Own",N($J6),IF(OR($E6="Skip",$E6=""),0,IFERROR(INDEX(Options!$F$2:$F$174,$F6)/INDEX(Options!$R$2:$R$174,$F6),0)))</f>
        <v/>
      </c>
      <c r="I6" s="13">
        <f>IF($E6="Own",0,IF(OR($E6="Skip",$E6=""),0,IFERROR(INDEX(Options!$H$2:$H$174,$F6)/INDEX(Options!$R$2:$R$174,$F6),0)))</f>
        <v/>
      </c>
      <c r="J6" s="12" t="n"/>
      <c r="K6" s="10">
        <f>IF(OR($E6="Skip",$E6="Own",$E6=""),"",IFERROR(HYPERLINK(INDEX(Options!$I$2:$I$174,$F6),"buy link"),""))</f>
        <v/>
      </c>
      <c r="L6" s="11">
        <f>IF(OR($E6="Skip",$E6="Own",$E6=""),"",IFERROR(LEFT(INDEX(Options!$L$2:$L$174,$F6),140),""))</f>
        <v/>
      </c>
      <c r="M6" s="11">
        <f>IF(OR($E6="Skip",$E6="Own",$E6=""),"",IFERROR(INDEX(Options!$S$2:$S$174,$F6),""))</f>
        <v/>
      </c>
      <c r="N6">
        <f>IFERROR(INDEX(Options!$F$2:$F$174,MATCH($C6&amp;"|Budget",Options!$T$2:$T$174,0))/INDEX(Options!$R$2:$R$174,MATCH($C6&amp;"|Budget",Options!$T$2:$T$174,0)),0)</f>
        <v/>
      </c>
      <c r="O6">
        <f>IFERROR(INDEX(Options!$H$2:$H$174,MATCH($C6&amp;"|Budget",Options!$T$2:$T$174,0))/INDEX(Options!$R$2:$R$174,MATCH($C6&amp;"|Budget",Options!$T$2:$T$174,0)),0)</f>
        <v/>
      </c>
      <c r="P6">
        <f>IFERROR(INDEX(Options!$F$2:$F$174,MATCH($C6&amp;"|Value",Options!$T$2:$T$174,0))/INDEX(Options!$R$2:$R$174,MATCH($C6&amp;"|Value",Options!$T$2:$T$174,0)),0)</f>
        <v/>
      </c>
      <c r="Q6">
        <f>IFERROR(INDEX(Options!$H$2:$H$174,MATCH($C6&amp;"|Value",Options!$T$2:$T$174,0))/INDEX(Options!$R$2:$R$174,MATCH($C6&amp;"|Value",Options!$T$2:$T$174,0)),0)</f>
        <v/>
      </c>
      <c r="R6">
        <f>IFERROR(INDEX(Options!$F$2:$F$174,MATCH($C6&amp;"|Premium",Options!$T$2:$T$174,0))/INDEX(Options!$R$2:$R$174,MATCH($C6&amp;"|Premium",Options!$T$2:$T$174,0)),0)</f>
        <v/>
      </c>
      <c r="S6">
        <f>IFERROR(INDEX(Options!$H$2:$H$174,MATCH($C6&amp;"|Premium",Options!$T$2:$T$174,0))/INDEX(Options!$R$2:$R$174,MATCH($C6&amp;"|Premium",Options!$T$2:$T$174,0)),0)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IFERROR(MATCH($C7&amp;"|"&amp;$E7,Options!$T$2:$T$174,0),"")</f>
        <v/>
      </c>
      <c r="G7" s="11">
        <f>IF(OR($E7="Skip",$E7=""),"(skipped)",IF($E7="Own","(own gear)",IFERROR(INDEX(Options!$D$2:$D$174,$F7)&amp;" -- "&amp;INDEX(Options!$E$2:$E$174,$F7),"?")))</f>
        <v/>
      </c>
      <c r="H7" s="12">
        <f>IF($E7="Own",N($J7),IF(OR($E7="Skip",$E7=""),0,IFERROR(INDEX(Options!$F$2:$F$174,$F7)/INDEX(Options!$R$2:$R$174,$F7),0)))</f>
        <v/>
      </c>
      <c r="I7" s="13">
        <f>IF($E7="Own",0,IF(OR($E7="Skip",$E7=""),0,IFERROR(INDEX(Options!$H$2:$H$174,$F7)/INDEX(Options!$R$2:$R$174,$F7),0)))</f>
        <v/>
      </c>
      <c r="J7" s="12" t="n"/>
      <c r="K7" s="10">
        <f>IF(OR($E7="Skip",$E7="Own",$E7=""),"",IFERROR(HYPERLINK(INDEX(Options!$I$2:$I$174,$F7),"buy link"),""))</f>
        <v/>
      </c>
      <c r="L7" s="11">
        <f>IF(OR($E7="Skip",$E7="Own",$E7=""),"",IFERROR(LEFT(INDEX(Options!$L$2:$L$174,$F7),140),""))</f>
        <v/>
      </c>
      <c r="M7" s="11">
        <f>IF(OR($E7="Skip",$E7="Own",$E7=""),"",IFERROR(INDEX(Options!$S$2:$S$174,$F7),""))</f>
        <v/>
      </c>
      <c r="N7">
        <f>IFERROR(INDEX(Options!$F$2:$F$174,MATCH($C7&amp;"|Budget",Options!$T$2:$T$174,0))/INDEX(Options!$R$2:$R$174,MATCH($C7&amp;"|Budget",Options!$T$2:$T$174,0)),0)</f>
        <v/>
      </c>
      <c r="O7">
        <f>IFERROR(INDEX(Options!$H$2:$H$174,MATCH($C7&amp;"|Budget",Options!$T$2:$T$174,0))/INDEX(Options!$R$2:$R$174,MATCH($C7&amp;"|Budget",Options!$T$2:$T$174,0)),0)</f>
        <v/>
      </c>
      <c r="P7">
        <f>IFERROR(INDEX(Options!$F$2:$F$174,MATCH($C7&amp;"|Value",Options!$T$2:$T$174,0))/INDEX(Options!$R$2:$R$174,MATCH($C7&amp;"|Value",Options!$T$2:$T$174,0)),0)</f>
        <v/>
      </c>
      <c r="Q7">
        <f>IFERROR(INDEX(Options!$H$2:$H$174,MATCH($C7&amp;"|Value",Options!$T$2:$T$174,0))/INDEX(Options!$R$2:$R$174,MATCH($C7&amp;"|Value",Options!$T$2:$T$174,0)),0)</f>
        <v/>
      </c>
      <c r="R7">
        <f>IFERROR(INDEX(Options!$F$2:$F$174,MATCH($C7&amp;"|Premium",Options!$T$2:$T$174,0))/INDEX(Options!$R$2:$R$174,MATCH($C7&amp;"|Premium",Options!$T$2:$T$174,0)),0)</f>
        <v/>
      </c>
      <c r="S7">
        <f>IFERROR(INDEX(Options!$H$2:$H$174,MATCH($C7&amp;"|Premium",Options!$T$2:$T$174,0))/INDEX(Options!$R$2:$R$174,MATCH($C7&amp;"|Premium",Options!$T$2:$T$174,0)),0)</f>
        <v/>
      </c>
    </row>
    <row r="8">
      <c r="A8" s="10" t="inlineStr">
        <is>
          <t>Overnight Pack</t>
        </is>
      </c>
      <c r="B8" s="10" t="inlineStr">
        <is>
          <t>Backpack, 40-60L</t>
        </is>
      </c>
      <c r="C8" s="10" t="inlineStr">
        <is>
          <t>backpack</t>
        </is>
      </c>
      <c r="D8" s="10" t="inlineStr">
        <is>
          <t>must</t>
        </is>
      </c>
      <c r="E8" s="10" t="inlineStr">
        <is>
          <t>Value</t>
        </is>
      </c>
      <c r="F8" s="10">
        <f>IFERROR(MATCH($C8&amp;"|"&amp;$E8,Options!$T$2:$T$174,0),"")</f>
        <v/>
      </c>
      <c r="G8" s="11">
        <f>IF(OR($E8="Skip",$E8=""),"(skipped)",IF($E8="Own","(own gear)",IFERROR(INDEX(Options!$D$2:$D$174,$F8)&amp;" -- "&amp;INDEX(Options!$E$2:$E$174,$F8),"?")))</f>
        <v/>
      </c>
      <c r="H8" s="12">
        <f>IF($E8="Own",N($J8),IF(OR($E8="Skip",$E8=""),0,IFERROR(INDEX(Options!$F$2:$F$174,$F8)/INDEX(Options!$R$2:$R$174,$F8),0)))</f>
        <v/>
      </c>
      <c r="I8" s="13">
        <f>IF($E8="Own",0,IF(OR($E8="Skip",$E8=""),0,IFERROR(INDEX(Options!$H$2:$H$174,$F8)/INDEX(Options!$R$2:$R$174,$F8),0)))</f>
        <v/>
      </c>
      <c r="J8" s="12" t="n"/>
      <c r="K8" s="10">
        <f>IF(OR($E8="Skip",$E8="Own",$E8=""),"",IFERROR(HYPERLINK(INDEX(Options!$I$2:$I$174,$F8),"buy link"),""))</f>
        <v/>
      </c>
      <c r="L8" s="11">
        <f>IF(OR($E8="Skip",$E8="Own",$E8=""),"",IFERROR(LEFT(INDEX(Options!$L$2:$L$174,$F8),140),""))</f>
        <v/>
      </c>
      <c r="M8" s="11">
        <f>IF(OR($E8="Skip",$E8="Own",$E8=""),"",IFERROR(INDEX(Options!$S$2:$S$174,$F8),""))</f>
        <v/>
      </c>
      <c r="N8">
        <f>IFERROR(INDEX(Options!$F$2:$F$174,MATCH($C8&amp;"|Budget",Options!$T$2:$T$174,0))/INDEX(Options!$R$2:$R$174,MATCH($C8&amp;"|Budget",Options!$T$2:$T$174,0)),0)</f>
        <v/>
      </c>
      <c r="O8">
        <f>IFERROR(INDEX(Options!$H$2:$H$174,MATCH($C8&amp;"|Budget",Options!$T$2:$T$174,0))/INDEX(Options!$R$2:$R$174,MATCH($C8&amp;"|Budget",Options!$T$2:$T$174,0)),0)</f>
        <v/>
      </c>
      <c r="P8">
        <f>IFERROR(INDEX(Options!$F$2:$F$174,MATCH($C8&amp;"|Value",Options!$T$2:$T$174,0))/INDEX(Options!$R$2:$R$174,MATCH($C8&amp;"|Value",Options!$T$2:$T$174,0)),0)</f>
        <v/>
      </c>
      <c r="Q8">
        <f>IFERROR(INDEX(Options!$H$2:$H$174,MATCH($C8&amp;"|Value",Options!$T$2:$T$174,0))/INDEX(Options!$R$2:$R$174,MATCH($C8&amp;"|Value",Options!$T$2:$T$174,0)),0)</f>
        <v/>
      </c>
      <c r="R8">
        <f>IFERROR(INDEX(Options!$F$2:$F$174,MATCH($C8&amp;"|Premium",Options!$T$2:$T$174,0))/INDEX(Options!$R$2:$R$174,MATCH($C8&amp;"|Premium",Options!$T$2:$T$174,0)),0)</f>
        <v/>
      </c>
      <c r="S8">
        <f>IFERROR(INDEX(Options!$H$2:$H$174,MATCH($C8&amp;"|Premium",Options!$T$2:$T$174,0))/INDEX(Options!$R$2:$R$174,MATCH($C8&amp;"|Premium",Options!$T$2:$T$174,0)),0)</f>
        <v/>
      </c>
    </row>
    <row r="9">
      <c r="A9" s="10" t="inlineStr">
        <is>
          <t>Overnight Pack</t>
        </is>
      </c>
      <c r="B9" s="10" t="inlineStr">
        <is>
          <t>Tent/shelter (personal, 1-person tent, one per hiker)</t>
        </is>
      </c>
      <c r="C9" s="10" t="inlineStr">
        <is>
          <t>tent_shelter</t>
        </is>
      </c>
      <c r="D9" s="10" t="inlineStr">
        <is>
          <t>must</t>
        </is>
      </c>
      <c r="E9" s="10" t="inlineStr">
        <is>
          <t>Budget</t>
        </is>
      </c>
      <c r="F9" s="10">
        <f>IFERROR(MATCH($C9&amp;"|"&amp;$E9,Options!$T$2:$T$174,0),"")</f>
        <v/>
      </c>
      <c r="G9" s="11">
        <f>IF(OR($E9="Skip",$E9=""),"(skipped)",IF($E9="Own","(own gear)",IFERROR(INDEX(Options!$D$2:$D$174,$F9)&amp;" -- "&amp;INDEX(Options!$E$2:$E$174,$F9),"?")))</f>
        <v/>
      </c>
      <c r="H9" s="12">
        <f>IF($E9="Own",N($J9),IF(OR($E9="Skip",$E9=""),0,IFERROR(INDEX(Options!$F$2:$F$174,$F9)/INDEX(Options!$R$2:$R$174,$F9),0)))</f>
        <v/>
      </c>
      <c r="I9" s="13">
        <f>IF($E9="Own",0,IF(OR($E9="Skip",$E9=""),0,IFERROR(INDEX(Options!$H$2:$H$174,$F9)/INDEX(Options!$R$2:$R$174,$F9),0)))</f>
        <v/>
      </c>
      <c r="J9" s="12" t="n"/>
      <c r="K9" s="10">
        <f>IF(OR($E9="Skip",$E9="Own",$E9=""),"",IFERROR(HYPERLINK(INDEX(Options!$I$2:$I$174,$F9),"buy link"),""))</f>
        <v/>
      </c>
      <c r="L9" s="11">
        <f>IF(OR($E9="Skip",$E9="Own",$E9=""),"",IFERROR(LEFT(INDEX(Options!$L$2:$L$174,$F9),140),""))</f>
        <v/>
      </c>
      <c r="M9" s="11">
        <f>IF(OR($E9="Skip",$E9="Own",$E9=""),"",IFERROR(INDEX(Options!$S$2:$S$174,$F9),""))</f>
        <v/>
      </c>
      <c r="N9">
        <f>IFERROR(INDEX(Options!$F$2:$F$174,MATCH($C9&amp;"|Budget",Options!$T$2:$T$174,0))/INDEX(Options!$R$2:$R$174,MATCH($C9&amp;"|Budget",Options!$T$2:$T$174,0)),0)</f>
        <v/>
      </c>
      <c r="O9">
        <f>IFERROR(INDEX(Options!$H$2:$H$174,MATCH($C9&amp;"|Budget",Options!$T$2:$T$174,0))/INDEX(Options!$R$2:$R$174,MATCH($C9&amp;"|Budget",Options!$T$2:$T$174,0)),0)</f>
        <v/>
      </c>
      <c r="P9">
        <f>IFERROR(INDEX(Options!$F$2:$F$174,MATCH($C9&amp;"|Value",Options!$T$2:$T$174,0))/INDEX(Options!$R$2:$R$174,MATCH($C9&amp;"|Value",Options!$T$2:$T$174,0)),0)</f>
        <v/>
      </c>
      <c r="Q9">
        <f>IFERROR(INDEX(Options!$H$2:$H$174,MATCH($C9&amp;"|Value",Options!$T$2:$T$174,0))/INDEX(Options!$R$2:$R$174,MATCH($C9&amp;"|Value",Options!$T$2:$T$174,0)),0)</f>
        <v/>
      </c>
      <c r="R9">
        <f>IFERROR(INDEX(Options!$F$2:$F$174,MATCH($C9&amp;"|Premium",Options!$T$2:$T$174,0))/INDEX(Options!$R$2:$R$174,MATCH($C9&amp;"|Premium",Options!$T$2:$T$174,0)),0)</f>
        <v/>
      </c>
      <c r="S9">
        <f>IFERROR(INDEX(Options!$H$2:$H$174,MATCH($C9&amp;"|Premium",Options!$T$2:$T$174,0))/INDEX(Options!$R$2:$R$174,MATCH($C9&amp;"|Premium",Options!$T$2:$T$174,0)),0)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IFERROR(MATCH($C10&amp;"|"&amp;$E10,Options!$T$2:$T$174,0),"")</f>
        <v/>
      </c>
      <c r="G10" s="11">
        <f>IF(OR($E10="Skip",$E10=""),"(skipped)",IF($E10="Own","(own gear)",IFERROR(INDEX(Options!$D$2:$D$174,$F10)&amp;" -- "&amp;INDEX(Options!$E$2:$E$174,$F10),"?")))</f>
        <v/>
      </c>
      <c r="H10" s="12">
        <f>IF($E10="Own",N($J10),IF(OR($E10="Skip",$E10=""),0,IFERROR(INDEX(Options!$F$2:$F$174,$F10)/INDEX(Options!$R$2:$R$174,$F10),0)))</f>
        <v/>
      </c>
      <c r="I10" s="13">
        <f>IF($E10="Own",0,IF(OR($E10="Skip",$E10=""),0,IFERROR(INDEX(Options!$H$2:$H$174,$F10)/INDEX(Options!$R$2:$R$174,$F10),0)))</f>
        <v/>
      </c>
      <c r="J10" s="12" t="n"/>
      <c r="K10" s="10">
        <f>IF(OR($E10="Skip",$E10="Own",$E10=""),"",IFERROR(HYPERLINK(INDEX(Options!$I$2:$I$174,$F10),"buy link"),""))</f>
        <v/>
      </c>
      <c r="L10" s="11">
        <f>IF(OR($E10="Skip",$E10="Own",$E10=""),"",IFERROR(LEFT(INDEX(Options!$L$2:$L$174,$F10),140),""))</f>
        <v/>
      </c>
      <c r="M10" s="11">
        <f>IF(OR($E10="Skip",$E10="Own",$E10=""),"",IFERROR(INDEX(Options!$S$2:$S$174,$F10),""))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IFERROR(MATCH($C11&amp;"|"&amp;$E11,Options!$T$2:$T$174,0),"")</f>
        <v/>
      </c>
      <c r="G11" s="11">
        <f>IF(OR($E11="Skip",$E11=""),"(skipped)",IF($E11="Own","(own gear)",IFERROR(INDEX(Options!$D$2:$D$174,$F11)&amp;" -- "&amp;INDEX(Options!$E$2:$E$174,$F11),"?")))</f>
        <v/>
      </c>
      <c r="H11" s="12">
        <f>IF($E11="Own",N($J11),IF(OR($E11="Skip",$E11=""),0,IFERROR(INDEX(Options!$F$2:$F$174,$F11)/INDEX(Options!$R$2:$R$174,$F11),0)))</f>
        <v/>
      </c>
      <c r="I11" s="13">
        <f>IF($E11="Own",0,IF(OR($E11="Skip",$E11=""),0,IFERROR(INDEX(Options!$H$2:$H$174,$F11)/INDEX(Options!$R$2:$R$174,$F11),0)))</f>
        <v/>
      </c>
      <c r="J11" s="12" t="n"/>
      <c r="K11" s="10">
        <f>IF(OR($E11="Skip",$E11="Own",$E11=""),"",IFERROR(HYPERLINK(INDEX(Options!$I$2:$I$174,$F11),"buy link"),""))</f>
        <v/>
      </c>
      <c r="L11" s="11">
        <f>IF(OR($E11="Skip",$E11="Own",$E11=""),"",IFERROR(LEFT(INDEX(Options!$L$2:$L$174,$F11),140),""))</f>
        <v/>
      </c>
      <c r="M11" s="11">
        <f>IF(OR($E11="Skip",$E11="Own",$E11=""),"",IFERROR(INDEX(Options!$S$2:$S$174,$F11),""))</f>
        <v/>
      </c>
      <c r="N11">
        <f>IFERROR(INDEX(Options!$F$2:$F$174,MATCH($C11&amp;"|Budget",Options!$T$2:$T$174,0))/INDEX(Options!$R$2:$R$174,MATCH($C11&amp;"|Budget",Options!$T$2:$T$174,0)),0)</f>
        <v/>
      </c>
      <c r="O11">
        <f>IFERROR(INDEX(Options!$H$2:$H$174,MATCH($C11&amp;"|Budget",Options!$T$2:$T$174,0))/INDEX(Options!$R$2:$R$174,MATCH($C11&amp;"|Budget",Options!$T$2:$T$174,0)),0)</f>
        <v/>
      </c>
      <c r="P11">
        <f>IFERROR(INDEX(Options!$F$2:$F$174,MATCH($C11&amp;"|Value",Options!$T$2:$T$174,0))/INDEX(Options!$R$2:$R$174,MATCH($C11&amp;"|Value",Options!$T$2:$T$174,0)),0)</f>
        <v/>
      </c>
      <c r="Q11">
        <f>IFERROR(INDEX(Options!$H$2:$H$174,MATCH($C11&amp;"|Value",Options!$T$2:$T$174,0))/INDEX(Options!$R$2:$R$174,MATCH($C11&amp;"|Value",Options!$T$2:$T$174,0)),0)</f>
        <v/>
      </c>
      <c r="R11">
        <f>IFERROR(INDEX(Options!$F$2:$F$174,MATCH($C11&amp;"|Premium",Options!$T$2:$T$174,0))/INDEX(Options!$R$2:$R$174,MATCH($C11&amp;"|Premium",Options!$T$2:$T$174,0)),0)</f>
        <v/>
      </c>
      <c r="S11">
        <f>IFERROR(INDEX(Options!$H$2:$H$174,MATCH($C11&amp;"|Premium",Options!$T$2:$T$174,0))/INDEX(Options!$R$2:$R$174,MATCH($C11&amp;"|Premium",Options!$T$2:$T$174,0)),0)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IFERROR(MATCH($C12&amp;"|"&amp;$E12,Options!$T$2:$T$174,0),"")</f>
        <v/>
      </c>
      <c r="G12" s="11">
        <f>IF(OR($E12="Skip",$E12=""),"(skipped)",IF($E12="Own","(own gear)",IFERROR(INDEX(Options!$D$2:$D$174,$F12)&amp;" -- "&amp;INDEX(Options!$E$2:$E$174,$F12),"?")))</f>
        <v/>
      </c>
      <c r="H12" s="12">
        <f>IF($E12="Own",N($J12),IF(OR($E12="Skip",$E12=""),0,IFERROR(INDEX(Options!$F$2:$F$174,$F12)/INDEX(Options!$R$2:$R$174,$F12),0)))</f>
        <v/>
      </c>
      <c r="I12" s="13">
        <f>IF($E12="Own",0,IF(OR($E12="Skip",$E12=""),0,IFERROR(INDEX(Options!$H$2:$H$174,$F12)/INDEX(Options!$R$2:$R$174,$F12),0)))</f>
        <v/>
      </c>
      <c r="J12" s="12" t="n"/>
      <c r="K12" s="10">
        <f>IF(OR($E12="Skip",$E12="Own",$E12=""),"",IFERROR(HYPERLINK(INDEX(Options!$I$2:$I$174,$F12),"buy link"),""))</f>
        <v/>
      </c>
      <c r="L12" s="11">
        <f>IF(OR($E12="Skip",$E12="Own",$E12=""),"",IFERROR(LEFT(INDEX(Options!$L$2:$L$174,$F12),140),""))</f>
        <v/>
      </c>
      <c r="M12" s="11">
        <f>IF(OR($E12="Skip",$E12="Own",$E12=""),"",IFERROR(INDEX(Options!$S$2:$S$174,$F12),""))</f>
        <v/>
      </c>
      <c r="N12">
        <f>IFERROR(INDEX(Options!$F$2:$F$174,MATCH($C12&amp;"|Budget",Options!$T$2:$T$174,0))/INDEX(Options!$R$2:$R$174,MATCH($C12&amp;"|Budget",Options!$T$2:$T$174,0)),0)</f>
        <v/>
      </c>
      <c r="O12">
        <f>IFERROR(INDEX(Options!$H$2:$H$174,MATCH($C12&amp;"|Budget",Options!$T$2:$T$174,0))/INDEX(Options!$R$2:$R$174,MATCH($C12&amp;"|Budget",Options!$T$2:$T$174,0)),0)</f>
        <v/>
      </c>
      <c r="P12">
        <f>IFERROR(INDEX(Options!$F$2:$F$174,MATCH($C12&amp;"|Value",Options!$T$2:$T$174,0))/INDEX(Options!$R$2:$R$174,MATCH($C12&amp;"|Value",Options!$T$2:$T$174,0)),0)</f>
        <v/>
      </c>
      <c r="Q12">
        <f>IFERROR(INDEX(Options!$H$2:$H$174,MATCH($C12&amp;"|Value",Options!$T$2:$T$174,0))/INDEX(Options!$R$2:$R$174,MATCH($C12&amp;"|Value",Options!$T$2:$T$174,0)),0)</f>
        <v/>
      </c>
      <c r="R12">
        <f>IFERROR(INDEX(Options!$F$2:$F$174,MATCH($C12&amp;"|Premium",Options!$T$2:$T$174,0))/INDEX(Options!$R$2:$R$174,MATCH($C12&amp;"|Premium",Options!$T$2:$T$174,0)),0)</f>
        <v/>
      </c>
      <c r="S12">
        <f>IFERROR(INDEX(Options!$H$2:$H$174,MATCH($C12&amp;"|Premium",Options!$T$2:$T$174,0))/INDEX(Options!$R$2:$R$174,MATCH($C12&amp;"|Premium",Options!$T$2:$T$174,0)),0)</f>
        <v/>
      </c>
    </row>
    <row r="13">
      <c r="A13" s="10" t="inlineStr">
        <is>
          <t>Overnight Pack</t>
        </is>
      </c>
      <c r="B13" s="10" t="inlineStr">
        <is>
          <t>Pillow</t>
        </is>
      </c>
      <c r="C13" s="10" t="inlineStr">
        <is>
          <t>pillow</t>
        </is>
      </c>
      <c r="D13" s="10" t="inlineStr">
        <is>
          <t>nice</t>
        </is>
      </c>
      <c r="E13" s="10" t="inlineStr">
        <is>
          <t>Budget</t>
        </is>
      </c>
      <c r="F13" s="10">
        <f>IFERROR(MATCH($C13&amp;"|"&amp;$E13,Options!$T$2:$T$174,0),"")</f>
        <v/>
      </c>
      <c r="G13" s="11">
        <f>IF(OR($E13="Skip",$E13=""),"(skipped)",IF($E13="Own","(own gear)",IFERROR(INDEX(Options!$D$2:$D$174,$F13)&amp;" -- "&amp;INDEX(Options!$E$2:$E$174,$F13),"?")))</f>
        <v/>
      </c>
      <c r="H13" s="12">
        <f>IF($E13="Own",N($J13),IF(OR($E13="Skip",$E13=""),0,IFERROR(INDEX(Options!$F$2:$F$174,$F13)/INDEX(Options!$R$2:$R$174,$F13),0)))</f>
        <v/>
      </c>
      <c r="I13" s="13">
        <f>IF($E13="Own",0,IF(OR($E13="Skip",$E13=""),0,IFERROR(INDEX(Options!$H$2:$H$174,$F13)/INDEX(Options!$R$2:$R$174,$F13),0)))</f>
        <v/>
      </c>
      <c r="J13" s="12" t="n"/>
      <c r="K13" s="10">
        <f>IF(OR($E13="Skip",$E13="Own",$E13=""),"",IFERROR(HYPERLINK(INDEX(Options!$I$2:$I$174,$F13),"buy link"),""))</f>
        <v/>
      </c>
      <c r="L13" s="11">
        <f>IF(OR($E13="Skip",$E13="Own",$E13=""),"",IFERROR(LEFT(INDEX(Options!$L$2:$L$174,$F13),140),""))</f>
        <v/>
      </c>
      <c r="M13" s="11">
        <f>IF(OR($E13="Skip",$E13="Own",$E13=""),"",IFERROR(INDEX(Options!$S$2:$S$174,$F13),""))</f>
        <v/>
      </c>
      <c r="N13">
        <f>IFERROR(INDEX(Options!$F$2:$F$174,MATCH($C13&amp;"|Budget",Options!$T$2:$T$174,0))/INDEX(Options!$R$2:$R$174,MATCH($C13&amp;"|Budget",Options!$T$2:$T$174,0)),0)</f>
        <v/>
      </c>
      <c r="O13">
        <f>IFERROR(INDEX(Options!$H$2:$H$174,MATCH($C13&amp;"|Budget",Options!$T$2:$T$174,0))/INDEX(Options!$R$2:$R$174,MATCH($C13&amp;"|Budget",Options!$T$2:$T$174,0)),0)</f>
        <v/>
      </c>
      <c r="P13">
        <f>IFERROR(INDEX(Options!$F$2:$F$174,MATCH($C13&amp;"|Value",Options!$T$2:$T$174,0))/INDEX(Options!$R$2:$R$174,MATCH($C13&amp;"|Value",Options!$T$2:$T$174,0)),0)</f>
        <v/>
      </c>
      <c r="Q13">
        <f>IFERROR(INDEX(Options!$H$2:$H$174,MATCH($C13&amp;"|Value",Options!$T$2:$T$174,0))/INDEX(Options!$R$2:$R$174,MATCH($C13&amp;"|Value",Options!$T$2:$T$174,0)),0)</f>
        <v/>
      </c>
      <c r="R13">
        <f>IFERROR(INDEX(Options!$F$2:$F$174,MATCH($C13&amp;"|Premium",Options!$T$2:$T$174,0))/INDEX(Options!$R$2:$R$174,MATCH($C13&amp;"|Premium",Options!$T$2:$T$174,0)),0)</f>
        <v/>
      </c>
      <c r="S13">
        <f>IFERROR(INDEX(Options!$H$2:$H$174,MATCH($C13&amp;"|Premium",Options!$T$2:$T$174,0))/INDEX(Options!$R$2:$R$174,MATCH($C13&amp;"|Premium",Options!$T$2:$T$174,0)),0)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IFERROR(MATCH($C14&amp;"|"&amp;$E14,Options!$T$2:$T$174,0),"")</f>
        <v/>
      </c>
      <c r="G14" s="11">
        <f>IF(OR($E14="Skip",$E14=""),"(skipped)",IF($E14="Own","(own gear)",IFERROR(INDEX(Options!$D$2:$D$174,$F14)&amp;" -- "&amp;INDEX(Options!$E$2:$E$174,$F14),"?")))</f>
        <v/>
      </c>
      <c r="H14" s="12">
        <f>IF($E14="Own",N($J14),IF(OR($E14="Skip",$E14=""),0,IFERROR(INDEX(Options!$F$2:$F$174,$F14)/INDEX(Options!$R$2:$R$174,$F14),0)))</f>
        <v/>
      </c>
      <c r="I14" s="13">
        <f>IF($E14="Own",0,IF(OR($E14="Skip",$E14=""),0,IFERROR(INDEX(Options!$H$2:$H$174,$F14)/INDEX(Options!$R$2:$R$174,$F14),0)))</f>
        <v/>
      </c>
      <c r="J14" s="12" t="n"/>
      <c r="K14" s="10">
        <f>IF(OR($E14="Skip",$E14="Own",$E14=""),"",IFERROR(HYPERLINK(INDEX(Options!$I$2:$I$174,$F14),"buy link"),""))</f>
        <v/>
      </c>
      <c r="L14" s="11">
        <f>IF(OR($E14="Skip",$E14="Own",$E14=""),"",IFERROR(LEFT(INDEX(Options!$L$2:$L$174,$F14),140),""))</f>
        <v/>
      </c>
      <c r="M14" s="11">
        <f>IF(OR($E14="Skip",$E14="Own",$E14=""),"",IFERROR(INDEX(Options!$S$2:$S$174,$F14),""))</f>
        <v/>
      </c>
      <c r="N14">
        <f>IFERROR(INDEX(Options!$F$2:$F$174,MATCH($C14&amp;"|Budget",Options!$T$2:$T$174,0))/INDEX(Options!$R$2:$R$174,MATCH($C14&amp;"|Budget",Options!$T$2:$T$174,0)),0)</f>
        <v/>
      </c>
      <c r="O14">
        <f>IFERROR(INDEX(Options!$H$2:$H$174,MATCH($C14&amp;"|Budget",Options!$T$2:$T$174,0))/INDEX(Options!$R$2:$R$174,MATCH($C14&amp;"|Budget",Options!$T$2:$T$174,0)),0)</f>
        <v/>
      </c>
      <c r="P14">
        <f>IFERROR(INDEX(Options!$F$2:$F$174,MATCH($C14&amp;"|Value",Options!$T$2:$T$174,0))/INDEX(Options!$R$2:$R$174,MATCH($C14&amp;"|Value",Options!$T$2:$T$174,0)),0)</f>
        <v/>
      </c>
      <c r="Q14">
        <f>IFERROR(INDEX(Options!$H$2:$H$174,MATCH($C14&amp;"|Value",Options!$T$2:$T$174,0))/INDEX(Options!$R$2:$R$174,MATCH($C14&amp;"|Value",Options!$T$2:$T$174,0)),0)</f>
        <v/>
      </c>
      <c r="R14">
        <f>IFERROR(INDEX(Options!$F$2:$F$174,MATCH($C14&amp;"|Premium",Options!$T$2:$T$174,0))/INDEX(Options!$R$2:$R$174,MATCH($C14&amp;"|Premium",Options!$T$2:$T$174,0)),0)</f>
        <v/>
      </c>
      <c r="S14">
        <f>IFERROR(INDEX(Options!$H$2:$H$174,MATCH($C14&amp;"|Premium",Options!$T$2:$T$174,0))/INDEX(Options!$R$2:$R$174,MATCH($C14&amp;"|Premium",Options!$T$2:$T$174,0)),0)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IFERROR(MATCH($C15&amp;"|"&amp;$E15,Options!$T$2:$T$174,0),"")</f>
        <v/>
      </c>
      <c r="G15" s="11">
        <f>IF(OR($E15="Skip",$E15=""),"(skipped)",IF($E15="Own","(own gear)",IFERROR(INDEX(Options!$D$2:$D$174,$F15)&amp;" -- "&amp;INDEX(Options!$E$2:$E$174,$F15),"?")))</f>
        <v/>
      </c>
      <c r="H15" s="12">
        <f>IF($E15="Own",N($J15),IF(OR($E15="Skip",$E15=""),0,IFERROR(INDEX(Options!$F$2:$F$174,$F15)/INDEX(Options!$R$2:$R$174,$F15),0)))</f>
        <v/>
      </c>
      <c r="I15" s="13">
        <f>IF($E15="Own",0,IF(OR($E15="Skip",$E15=""),0,IFERROR(INDEX(Options!$H$2:$H$174,$F15)/INDEX(Options!$R$2:$R$174,$F15),0)))</f>
        <v/>
      </c>
      <c r="J15" s="12" t="n"/>
      <c r="K15" s="10">
        <f>IF(OR($E15="Skip",$E15="Own",$E15=""),"",IFERROR(HYPERLINK(INDEX(Options!$I$2:$I$174,$F15),"buy link"),""))</f>
        <v/>
      </c>
      <c r="L15" s="11">
        <f>IF(OR($E15="Skip",$E15="Own",$E15=""),"",IFERROR(LEFT(INDEX(Options!$L$2:$L$174,$F15),140),""))</f>
        <v/>
      </c>
      <c r="M15" s="11">
        <f>IF(OR($E15="Skip",$E15="Own",$E15=""),"",IFERROR(INDEX(Options!$S$2:$S$174,$F15),""))</f>
        <v/>
      </c>
      <c r="N15">
        <f>IFERROR(INDEX(Options!$F$2:$F$174,MATCH($C15&amp;"|Budget",Options!$T$2:$T$174,0))/INDEX(Options!$R$2:$R$174,MATCH($C15&amp;"|Budget",Options!$T$2:$T$174,0)),0)</f>
        <v/>
      </c>
      <c r="O15">
        <f>IFERROR(INDEX(Options!$H$2:$H$174,MATCH($C15&amp;"|Budget",Options!$T$2:$T$174,0))/INDEX(Options!$R$2:$R$174,MATCH($C15&amp;"|Budget",Options!$T$2:$T$174,0)),0)</f>
        <v/>
      </c>
      <c r="P15">
        <f>IFERROR(INDEX(Options!$F$2:$F$174,MATCH($C15&amp;"|Value",Options!$T$2:$T$174,0))/INDEX(Options!$R$2:$R$174,MATCH($C15&amp;"|Value",Options!$T$2:$T$174,0)),0)</f>
        <v/>
      </c>
      <c r="Q15">
        <f>IFERROR(INDEX(Options!$H$2:$H$174,MATCH($C15&amp;"|Value",Options!$T$2:$T$174,0))/INDEX(Options!$R$2:$R$174,MATCH($C15&amp;"|Value",Options!$T$2:$T$174,0)),0)</f>
        <v/>
      </c>
      <c r="R15">
        <f>IFERROR(INDEX(Options!$F$2:$F$174,MATCH($C15&amp;"|Premium",Options!$T$2:$T$174,0))/INDEX(Options!$R$2:$R$174,MATCH($C15&amp;"|Premium",Options!$T$2:$T$174,0)),0)</f>
        <v/>
      </c>
      <c r="S15">
        <f>IFERROR(INDEX(Options!$H$2:$H$174,MATCH($C15&amp;"|Premium",Options!$T$2:$T$174,0))/INDEX(Options!$R$2:$R$174,MATCH($C15&amp;"|Premium",Options!$T$2:$T$174,0)),0)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IFERROR(MATCH($C16&amp;"|"&amp;$E16,Options!$T$2:$T$174,0),"")</f>
        <v/>
      </c>
      <c r="G16" s="11">
        <f>IF(OR($E16="Skip",$E16=""),"(skipped)",IF($E16="Own","(own gear)",IFERROR(INDEX(Options!$D$2:$D$174,$F16)&amp;" -- "&amp;INDEX(Options!$E$2:$E$174,$F16),"?")))</f>
        <v/>
      </c>
      <c r="H16" s="12">
        <f>IF($E16="Own",N($J16),IF(OR($E16="Skip",$E16=""),0,IFERROR(INDEX(Options!$F$2:$F$174,$F16)/INDEX(Options!$R$2:$R$174,$F16),0)))</f>
        <v/>
      </c>
      <c r="I16" s="13">
        <f>IF($E16="Own",0,IF(OR($E16="Skip",$E16=""),0,IFERROR(INDEX(Options!$H$2:$H$174,$F16)/INDEX(Options!$R$2:$R$174,$F16),0)))</f>
        <v/>
      </c>
      <c r="J16" s="12" t="n"/>
      <c r="K16" s="10">
        <f>IF(OR($E16="Skip",$E16="Own",$E16=""),"",IFERROR(HYPERLINK(INDEX(Options!$I$2:$I$174,$F16),"buy link"),""))</f>
        <v/>
      </c>
      <c r="L16" s="11">
        <f>IF(OR($E16="Skip",$E16="Own",$E16=""),"",IFERROR(LEFT(INDEX(Options!$L$2:$L$174,$F16),140),""))</f>
        <v/>
      </c>
      <c r="M16" s="11">
        <f>IF(OR($E16="Skip",$E16="Own",$E16=""),"",IFERROR(INDEX(Options!$S$2:$S$174,$F16),""))</f>
        <v/>
      </c>
      <c r="N16">
        <f>IFERROR(INDEX(Options!$F$2:$F$174,MATCH($C16&amp;"|Budget",Options!$T$2:$T$174,0))/INDEX(Options!$R$2:$R$174,MATCH($C16&amp;"|Budget",Options!$T$2:$T$174,0)),0)</f>
        <v/>
      </c>
      <c r="O16">
        <f>IFERROR(INDEX(Options!$H$2:$H$174,MATCH($C16&amp;"|Budget",Options!$T$2:$T$174,0))/INDEX(Options!$R$2:$R$174,MATCH($C16&amp;"|Budget",Options!$T$2:$T$174,0)),0)</f>
        <v/>
      </c>
      <c r="P16">
        <f>IFERROR(INDEX(Options!$F$2:$F$174,MATCH($C16&amp;"|Value",Options!$T$2:$T$174,0))/INDEX(Options!$R$2:$R$174,MATCH($C16&amp;"|Value",Options!$T$2:$T$174,0)),0)</f>
        <v/>
      </c>
      <c r="Q16">
        <f>IFERROR(INDEX(Options!$H$2:$H$174,MATCH($C16&amp;"|Value",Options!$T$2:$T$174,0))/INDEX(Options!$R$2:$R$174,MATCH($C16&amp;"|Value",Options!$T$2:$T$174,0)),0)</f>
        <v/>
      </c>
      <c r="R16">
        <f>IFERROR(INDEX(Options!$F$2:$F$174,MATCH($C16&amp;"|Premium",Options!$T$2:$T$174,0))/INDEX(Options!$R$2:$R$174,MATCH($C16&amp;"|Premium",Options!$T$2:$T$174,0)),0)</f>
        <v/>
      </c>
      <c r="S16">
        <f>IFERROR(INDEX(Options!$H$2:$H$174,MATCH($C16&amp;"|Premium",Options!$T$2:$T$174,0))/INDEX(Options!$R$2:$R$174,MATCH($C16&amp;"|Premium",Options!$T$2:$T$174,0)),0)</f>
        <v/>
      </c>
    </row>
    <row r="17">
      <c r="A17" s="10" t="inlineStr">
        <is>
          <t>Overnight Pack</t>
        </is>
      </c>
      <c r="B17" s="10" t="inlineStr">
        <is>
          <t>Rain jacket</t>
        </is>
      </c>
      <c r="C17" s="10" t="inlineStr">
        <is>
          <t>rain_jacket</t>
        </is>
      </c>
      <c r="D17" s="10" t="inlineStr">
        <is>
          <t>must</t>
        </is>
      </c>
      <c r="E17" s="10" t="inlineStr">
        <is>
          <t>Value</t>
        </is>
      </c>
      <c r="F17" s="10">
        <f>IFERROR(MATCH($C17&amp;"|"&amp;$E17,Options!$T$2:$T$174,0),"")</f>
        <v/>
      </c>
      <c r="G17" s="11">
        <f>IF(OR($E17="Skip",$E17=""),"(skipped)",IF($E17="Own","(own gear)",IFERROR(INDEX(Options!$D$2:$D$174,$F17)&amp;" -- "&amp;INDEX(Options!$E$2:$E$174,$F17),"?")))</f>
        <v/>
      </c>
      <c r="H17" s="12">
        <f>IF($E17="Own",N($J17),IF(OR($E17="Skip",$E17=""),0,IFERROR(INDEX(Options!$F$2:$F$174,$F17)/INDEX(Options!$R$2:$R$174,$F17),0)))</f>
        <v/>
      </c>
      <c r="I17" s="13">
        <f>IF($E17="Own",0,IF(OR($E17="Skip",$E17=""),0,IFERROR(INDEX(Options!$H$2:$H$174,$F17)/INDEX(Options!$R$2:$R$174,$F17),0)))</f>
        <v/>
      </c>
      <c r="J17" s="12" t="n"/>
      <c r="K17" s="10">
        <f>IF(OR($E17="Skip",$E17="Own",$E17=""),"",IFERROR(HYPERLINK(INDEX(Options!$I$2:$I$174,$F17),"buy link"),""))</f>
        <v/>
      </c>
      <c r="L17" s="11">
        <f>IF(OR($E17="Skip",$E17="Own",$E17=""),"",IFERROR(LEFT(INDEX(Options!$L$2:$L$174,$F17),140),""))</f>
        <v/>
      </c>
      <c r="M17" s="11">
        <f>IF(OR($E17="Skip",$E17="Own",$E17=""),"",IFERROR(INDEX(Options!$S$2:$S$174,$F17),""))</f>
        <v/>
      </c>
      <c r="N17">
        <f>IFERROR(INDEX(Options!$F$2:$F$174,MATCH($C17&amp;"|Budget",Options!$T$2:$T$174,0))/INDEX(Options!$R$2:$R$174,MATCH($C17&amp;"|Budget",Options!$T$2:$T$174,0)),0)</f>
        <v/>
      </c>
      <c r="O17">
        <f>IFERROR(INDEX(Options!$H$2:$H$174,MATCH($C17&amp;"|Budget",Options!$T$2:$T$174,0))/INDEX(Options!$R$2:$R$174,MATCH($C17&amp;"|Budget",Options!$T$2:$T$174,0)),0)</f>
        <v/>
      </c>
      <c r="P17">
        <f>IFERROR(INDEX(Options!$F$2:$F$174,MATCH($C17&amp;"|Value",Options!$T$2:$T$174,0))/INDEX(Options!$R$2:$R$174,MATCH($C17&amp;"|Value",Options!$T$2:$T$174,0)),0)</f>
        <v/>
      </c>
      <c r="Q17">
        <f>IFERROR(INDEX(Options!$H$2:$H$174,MATCH($C17&amp;"|Value",Options!$T$2:$T$174,0))/INDEX(Options!$R$2:$R$174,MATCH($C17&amp;"|Value",Options!$T$2:$T$174,0)),0)</f>
        <v/>
      </c>
      <c r="R17">
        <f>IFERROR(INDEX(Options!$F$2:$F$174,MATCH($C17&amp;"|Premium",Options!$T$2:$T$174,0))/INDEX(Options!$R$2:$R$174,MATCH($C17&amp;"|Premium",Options!$T$2:$T$174,0)),0)</f>
        <v/>
      </c>
      <c r="S17">
        <f>IFERROR(INDEX(Options!$H$2:$H$174,MATCH($C17&amp;"|Premium",Options!$T$2:$T$174,0))/INDEX(Options!$R$2:$R$174,MATCH($C17&amp;"|Premium",Options!$T$2:$T$174,0)),0)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IFERROR(MATCH($C18&amp;"|"&amp;$E18,Options!$T$2:$T$174,0),"")</f>
        <v/>
      </c>
      <c r="G18" s="11">
        <f>IF(OR($E18="Skip",$E18=""),"(skipped)",IF($E18="Own","(own gear)",IFERROR(INDEX(Options!$D$2:$D$174,$F18)&amp;" -- "&amp;INDEX(Options!$E$2:$E$174,$F18),"?")))</f>
        <v/>
      </c>
      <c r="H18" s="12">
        <f>IF($E18="Own",N($J18),IF(OR($E18="Skip",$E18=""),0,IFERROR(INDEX(Options!$F$2:$F$174,$F18)/INDEX(Options!$R$2:$R$174,$F18),0)))</f>
        <v/>
      </c>
      <c r="I18" s="13">
        <f>IF($E18="Own",0,IF(OR($E18="Skip",$E18=""),0,IFERROR(INDEX(Options!$H$2:$H$174,$F18)/INDEX(Options!$R$2:$R$174,$F18),0)))</f>
        <v/>
      </c>
      <c r="J18" s="12" t="n"/>
      <c r="K18" s="10">
        <f>IF(OR($E18="Skip",$E18="Own",$E18=""),"",IFERROR(HYPERLINK(INDEX(Options!$I$2:$I$174,$F18),"buy link"),""))</f>
        <v/>
      </c>
      <c r="L18" s="11">
        <f>IF(OR($E18="Skip",$E18="Own",$E18=""),"",IFERROR(LEFT(INDEX(Options!$L$2:$L$174,$F18),140),""))</f>
        <v/>
      </c>
      <c r="M18" s="11">
        <f>IF(OR($E18="Skip",$E18="Own",$E18=""),"",IFERROR(INDEX(Options!$S$2:$S$174,$F18),""))</f>
        <v/>
      </c>
      <c r="N18">
        <f>IFERROR(INDEX(Options!$F$2:$F$174,MATCH($C18&amp;"|Budget",Options!$T$2:$T$174,0))/INDEX(Options!$R$2:$R$174,MATCH($C18&amp;"|Budget",Options!$T$2:$T$174,0)),0)</f>
        <v/>
      </c>
      <c r="O18">
        <f>IFERROR(INDEX(Options!$H$2:$H$174,MATCH($C18&amp;"|Budget",Options!$T$2:$T$174,0))/INDEX(Options!$R$2:$R$174,MATCH($C18&amp;"|Budget",Options!$T$2:$T$174,0)),0)</f>
        <v/>
      </c>
      <c r="P18">
        <f>IFERROR(INDEX(Options!$F$2:$F$174,MATCH($C18&amp;"|Value",Options!$T$2:$T$174,0))/INDEX(Options!$R$2:$R$174,MATCH($C18&amp;"|Value",Options!$T$2:$T$174,0)),0)</f>
        <v/>
      </c>
      <c r="Q18">
        <f>IFERROR(INDEX(Options!$H$2:$H$174,MATCH($C18&amp;"|Value",Options!$T$2:$T$174,0))/INDEX(Options!$R$2:$R$174,MATCH($C18&amp;"|Value",Options!$T$2:$T$174,0)),0)</f>
        <v/>
      </c>
      <c r="R18">
        <f>IFERROR(INDEX(Options!$F$2:$F$174,MATCH($C18&amp;"|Premium",Options!$T$2:$T$174,0))/INDEX(Options!$R$2:$R$174,MATCH($C18&amp;"|Premium",Options!$T$2:$T$174,0)),0)</f>
        <v/>
      </c>
      <c r="S18">
        <f>IFERROR(INDEX(Options!$H$2:$H$174,MATCH($C18&amp;"|Premium",Options!$T$2:$T$174,0))/INDEX(Options!$R$2:$R$174,MATCH($C18&amp;"|Premium",Options!$T$2:$T$174,0)),0)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IFERROR(MATCH($C19&amp;"|"&amp;$E19,Options!$T$2:$T$174,0),"")</f>
        <v/>
      </c>
      <c r="G19" s="11">
        <f>IF(OR($E19="Skip",$E19=""),"(skipped)",IF($E19="Own","(own gear)",IFERROR(INDEX(Options!$D$2:$D$174,$F19)&amp;" -- "&amp;INDEX(Options!$E$2:$E$174,$F19),"?")))</f>
        <v/>
      </c>
      <c r="H19" s="12">
        <f>IF($E19="Own",N($J19),IF(OR($E19="Skip",$E19=""),0,IFERROR(INDEX(Options!$F$2:$F$174,$F19)/INDEX(Options!$R$2:$R$174,$F19),0)))</f>
        <v/>
      </c>
      <c r="I19" s="13">
        <f>IF($E19="Own",0,IF(OR($E19="Skip",$E19=""),0,IFERROR(INDEX(Options!$H$2:$H$174,$F19)/INDEX(Options!$R$2:$R$174,$F19),0)))</f>
        <v/>
      </c>
      <c r="J19" s="12" t="n"/>
      <c r="K19" s="10">
        <f>IF(OR($E19="Skip",$E19="Own",$E19=""),"",IFERROR(HYPERLINK(INDEX(Options!$I$2:$I$174,$F19),"buy link"),""))</f>
        <v/>
      </c>
      <c r="L19" s="11">
        <f>IF(OR($E19="Skip",$E19="Own",$E19=""),"",IFERROR(LEFT(INDEX(Options!$L$2:$L$174,$F19),140),""))</f>
        <v/>
      </c>
      <c r="M19" s="11">
        <f>IF(OR($E19="Skip",$E19="Own",$E19=""),"",IFERROR(INDEX(Options!$S$2:$S$174,$F19),""))</f>
        <v/>
      </c>
      <c r="N19">
        <f>IFERROR(INDEX(Options!$F$2:$F$174,MATCH($C19&amp;"|Budget",Options!$T$2:$T$174,0))/INDEX(Options!$R$2:$R$174,MATCH($C19&amp;"|Budget",Options!$T$2:$T$174,0)),0)</f>
        <v/>
      </c>
      <c r="O19">
        <f>IFERROR(INDEX(Options!$H$2:$H$174,MATCH($C19&amp;"|Budget",Options!$T$2:$T$174,0))/INDEX(Options!$R$2:$R$174,MATCH($C19&amp;"|Budget",Options!$T$2:$T$174,0)),0)</f>
        <v/>
      </c>
      <c r="P19">
        <f>IFERROR(INDEX(Options!$F$2:$F$174,MATCH($C19&amp;"|Value",Options!$T$2:$T$174,0))/INDEX(Options!$R$2:$R$174,MATCH($C19&amp;"|Value",Options!$T$2:$T$174,0)),0)</f>
        <v/>
      </c>
      <c r="Q19">
        <f>IFERROR(INDEX(Options!$H$2:$H$174,MATCH($C19&amp;"|Value",Options!$T$2:$T$174,0))/INDEX(Options!$R$2:$R$174,MATCH($C19&amp;"|Value",Options!$T$2:$T$174,0)),0)</f>
        <v/>
      </c>
      <c r="R19">
        <f>IFERROR(INDEX(Options!$F$2:$F$174,MATCH($C19&amp;"|Premium",Options!$T$2:$T$174,0))/INDEX(Options!$R$2:$R$174,MATCH($C19&amp;"|Premium",Options!$T$2:$T$174,0)),0)</f>
        <v/>
      </c>
      <c r="S19">
        <f>IFERROR(INDEX(Options!$H$2:$H$174,MATCH($C19&amp;"|Premium",Options!$T$2:$T$174,0))/INDEX(Options!$R$2:$R$174,MATCH($C19&amp;"|Premium",Options!$T$2:$T$174,0)),0)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IFERROR(MATCH($C20&amp;"|"&amp;$E20,Options!$T$2:$T$174,0),"")</f>
        <v/>
      </c>
      <c r="G20" s="11">
        <f>IF(OR($E20="Skip",$E20=""),"(skipped)",IF($E20="Own","(own gear)",IFERROR(INDEX(Options!$D$2:$D$174,$F20)&amp;" -- "&amp;INDEX(Options!$E$2:$E$174,$F20),"?")))</f>
        <v/>
      </c>
      <c r="H20" s="12">
        <f>IF($E20="Own",N($J20),IF(OR($E20="Skip",$E20=""),0,IFERROR(INDEX(Options!$F$2:$F$174,$F20)/INDEX(Options!$R$2:$R$174,$F20),0)))</f>
        <v/>
      </c>
      <c r="I20" s="13">
        <f>IF($E20="Own",0,IF(OR($E20="Skip",$E20=""),0,IFERROR(INDEX(Options!$H$2:$H$174,$F20)/INDEX(Options!$R$2:$R$174,$F20),0)))</f>
        <v/>
      </c>
      <c r="J20" s="12" t="n"/>
      <c r="K20" s="10">
        <f>IF(OR($E20="Skip",$E20="Own",$E20=""),"",IFERROR(HYPERLINK(INDEX(Options!$I$2:$I$174,$F20),"buy link"),""))</f>
        <v/>
      </c>
      <c r="L20" s="11">
        <f>IF(OR($E20="Skip",$E20="Own",$E20=""),"",IFERROR(LEFT(INDEX(Options!$L$2:$L$174,$F20),140),""))</f>
        <v/>
      </c>
      <c r="M20" s="11">
        <f>IF(OR($E20="Skip",$E20="Own",$E20=""),"",IFERROR(INDEX(Options!$S$2:$S$174,$F20),""))</f>
        <v/>
      </c>
      <c r="N20">
        <f>IFERROR(INDEX(Options!$F$2:$F$174,MATCH($C20&amp;"|Budget",Options!$T$2:$T$174,0))/INDEX(Options!$R$2:$R$174,MATCH($C20&amp;"|Budget",Options!$T$2:$T$174,0)),0)</f>
        <v/>
      </c>
      <c r="O20">
        <f>IFERROR(INDEX(Options!$H$2:$H$174,MATCH($C20&amp;"|Budget",Options!$T$2:$T$174,0))/INDEX(Options!$R$2:$R$174,MATCH($C20&amp;"|Budget",Options!$T$2:$T$174,0)),0)</f>
        <v/>
      </c>
      <c r="P20">
        <f>IFERROR(INDEX(Options!$F$2:$F$174,MATCH($C20&amp;"|Value",Options!$T$2:$T$174,0))/INDEX(Options!$R$2:$R$174,MATCH($C20&amp;"|Value",Options!$T$2:$T$174,0)),0)</f>
        <v/>
      </c>
      <c r="Q20">
        <f>IFERROR(INDEX(Options!$H$2:$H$174,MATCH($C20&amp;"|Value",Options!$T$2:$T$174,0))/INDEX(Options!$R$2:$R$174,MATCH($C20&amp;"|Value",Options!$T$2:$T$174,0)),0)</f>
        <v/>
      </c>
      <c r="R20">
        <f>IFERROR(INDEX(Options!$F$2:$F$174,MATCH($C20&amp;"|Premium",Options!$T$2:$T$174,0))/INDEX(Options!$R$2:$R$174,MATCH($C20&amp;"|Premium",Options!$T$2:$T$174,0)),0)</f>
        <v/>
      </c>
      <c r="S20">
        <f>IFERROR(INDEX(Options!$H$2:$H$174,MATCH($C20&amp;"|Premium",Options!$T$2:$T$174,0))/INDEX(Options!$R$2:$R$174,MATCH($C20&amp;"|Premium",Options!$T$2:$T$174,0)),0)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IFERROR(MATCH($C21&amp;"|"&amp;$E21,Options!$T$2:$T$174,0),"")</f>
        <v/>
      </c>
      <c r="G21" s="11">
        <f>IF(OR($E21="Skip",$E21=""),"(skipped)",IF($E21="Own","(own gear)",IFERROR(INDEX(Options!$D$2:$D$174,$F21)&amp;" -- "&amp;INDEX(Options!$E$2:$E$174,$F21),"?")))</f>
        <v/>
      </c>
      <c r="H21" s="12">
        <f>IF($E21="Own",N($J21),IF(OR($E21="Skip",$E21=""),0,IFERROR(INDEX(Options!$F$2:$F$174,$F21)/INDEX(Options!$R$2:$R$174,$F21),0)))</f>
        <v/>
      </c>
      <c r="I21" s="13">
        <f>IF($E21="Own",0,IF(OR($E21="Skip",$E21=""),0,IFERROR(INDEX(Options!$H$2:$H$174,$F21)/INDEX(Options!$R$2:$R$174,$F21),0)))</f>
        <v/>
      </c>
      <c r="J21" s="12" t="n"/>
      <c r="K21" s="10">
        <f>IF(OR($E21="Skip",$E21="Own",$E21=""),"",IFERROR(HYPERLINK(INDEX(Options!$I$2:$I$174,$F21),"buy link"),""))</f>
        <v/>
      </c>
      <c r="L21" s="11">
        <f>IF(OR($E21="Skip",$E21="Own",$E21=""),"",IFERROR(LEFT(INDEX(Options!$L$2:$L$174,$F21),140),""))</f>
        <v/>
      </c>
      <c r="M21" s="11">
        <f>IF(OR($E21="Skip",$E21="Own",$E21=""),"",IFERROR(INDEX(Options!$S$2:$S$174,$F21),""))</f>
        <v/>
      </c>
      <c r="N21">
        <f>IFERROR(INDEX(Options!$F$2:$F$174,MATCH($C21&amp;"|Budget",Options!$T$2:$T$174,0))/INDEX(Options!$R$2:$R$174,MATCH($C21&amp;"|Budget",Options!$T$2:$T$174,0)),0)</f>
        <v/>
      </c>
      <c r="O21">
        <f>IFERROR(INDEX(Options!$H$2:$H$174,MATCH($C21&amp;"|Budget",Options!$T$2:$T$174,0))/INDEX(Options!$R$2:$R$174,MATCH($C21&amp;"|Budget",Options!$T$2:$T$174,0)),0)</f>
        <v/>
      </c>
      <c r="P21">
        <f>IFERROR(INDEX(Options!$F$2:$F$174,MATCH($C21&amp;"|Value",Options!$T$2:$T$174,0))/INDEX(Options!$R$2:$R$174,MATCH($C21&amp;"|Value",Options!$T$2:$T$174,0)),0)</f>
        <v/>
      </c>
      <c r="Q21">
        <f>IFERROR(INDEX(Options!$H$2:$H$174,MATCH($C21&amp;"|Value",Options!$T$2:$T$174,0))/INDEX(Options!$R$2:$R$174,MATCH($C21&amp;"|Value",Options!$T$2:$T$174,0)),0)</f>
        <v/>
      </c>
      <c r="R21">
        <f>IFERROR(INDEX(Options!$F$2:$F$174,MATCH($C21&amp;"|Premium",Options!$T$2:$T$174,0))/INDEX(Options!$R$2:$R$174,MATCH($C21&amp;"|Premium",Options!$T$2:$T$174,0)),0)</f>
        <v/>
      </c>
      <c r="S21">
        <f>IFERROR(INDEX(Options!$H$2:$H$174,MATCH($C21&amp;"|Premium",Options!$T$2:$T$174,0))/INDEX(Options!$R$2:$R$174,MATCH($C21&amp;"|Premium",Options!$T$2:$T$174,0)),0)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IFERROR(MATCH($C22&amp;"|"&amp;$E22,Options!$T$2:$T$174,0),"")</f>
        <v/>
      </c>
      <c r="G22" s="11">
        <f>IF(OR($E22="Skip",$E22=""),"(skipped)",IF($E22="Own","(own gear)",IFERROR(INDEX(Options!$D$2:$D$174,$F22)&amp;" -- "&amp;INDEX(Options!$E$2:$E$174,$F22),"?")))</f>
        <v/>
      </c>
      <c r="H22" s="12">
        <f>IF($E22="Own",N($J22),IF(OR($E22="Skip",$E22=""),0,IFERROR(INDEX(Options!$F$2:$F$174,$F22)/INDEX(Options!$R$2:$R$174,$F22),0)))</f>
        <v/>
      </c>
      <c r="I22" s="13">
        <f>IF($E22="Own",0,IF(OR($E22="Skip",$E22=""),0,IFERROR(INDEX(Options!$H$2:$H$174,$F22)/INDEX(Options!$R$2:$R$174,$F22),0)))</f>
        <v/>
      </c>
      <c r="J22" s="12" t="n"/>
      <c r="K22" s="10">
        <f>IF(OR($E22="Skip",$E22="Own",$E22=""),"",IFERROR(HYPERLINK(INDEX(Options!$I$2:$I$174,$F22),"buy link"),""))</f>
        <v/>
      </c>
      <c r="L22" s="11">
        <f>IF(OR($E22="Skip",$E22="Own",$E22=""),"",IFERROR(LEFT(INDEX(Options!$L$2:$L$174,$F22),140),""))</f>
        <v/>
      </c>
      <c r="M22" s="11">
        <f>IF(OR($E22="Skip",$E22="Own",$E22=""),"",IFERROR(INDEX(Options!$S$2:$S$174,$F22),""))</f>
        <v/>
      </c>
      <c r="N22">
        <f>IFERROR(INDEX(Options!$F$2:$F$174,MATCH($C22&amp;"|Budget",Options!$T$2:$T$174,0))/INDEX(Options!$R$2:$R$174,MATCH($C22&amp;"|Budget",Options!$T$2:$T$174,0)),0)</f>
        <v/>
      </c>
      <c r="O22">
        <f>IFERROR(INDEX(Options!$H$2:$H$174,MATCH($C22&amp;"|Budget",Options!$T$2:$T$174,0))/INDEX(Options!$R$2:$R$174,MATCH($C22&amp;"|Budget",Options!$T$2:$T$174,0)),0)</f>
        <v/>
      </c>
      <c r="P22">
        <f>IFERROR(INDEX(Options!$F$2:$F$174,MATCH($C22&amp;"|Value",Options!$T$2:$T$174,0))/INDEX(Options!$R$2:$R$174,MATCH($C22&amp;"|Value",Options!$T$2:$T$174,0)),0)</f>
        <v/>
      </c>
      <c r="Q22">
        <f>IFERROR(INDEX(Options!$H$2:$H$174,MATCH($C22&amp;"|Value",Options!$T$2:$T$174,0))/INDEX(Options!$R$2:$R$174,MATCH($C22&amp;"|Value",Options!$T$2:$T$174,0)),0)</f>
        <v/>
      </c>
      <c r="R22">
        <f>IFERROR(INDEX(Options!$F$2:$F$174,MATCH($C22&amp;"|Premium",Options!$T$2:$T$174,0))/INDEX(Options!$R$2:$R$174,MATCH($C22&amp;"|Premium",Options!$T$2:$T$174,0)),0)</f>
        <v/>
      </c>
      <c r="S22">
        <f>IFERROR(INDEX(Options!$H$2:$H$174,MATCH($C22&amp;"|Premium",Options!$T$2:$T$174,0))/INDEX(Options!$R$2:$R$174,MATCH($C22&amp;"|Premium",Options!$T$2:$T$174,0)),0)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IFERROR(MATCH($C23&amp;"|"&amp;$E23,Options!$T$2:$T$174,0),"")</f>
        <v/>
      </c>
      <c r="G23" s="11">
        <f>IF(OR($E23="Skip",$E23=""),"(skipped)",IF($E23="Own","(own gear)",IFERROR(INDEX(Options!$D$2:$D$174,$F23)&amp;" -- "&amp;INDEX(Options!$E$2:$E$174,$F23),"?")))</f>
        <v/>
      </c>
      <c r="H23" s="12">
        <f>IF($E23="Own",N($J23),IF(OR($E23="Skip",$E23=""),0,IFERROR(INDEX(Options!$F$2:$F$174,$F23)/INDEX(Options!$R$2:$R$174,$F23),0)))</f>
        <v/>
      </c>
      <c r="I23" s="13">
        <f>IF($E23="Own",0,IF(OR($E23="Skip",$E23=""),0,IFERROR(INDEX(Options!$H$2:$H$174,$F23)/INDEX(Options!$R$2:$R$174,$F23),0)))</f>
        <v/>
      </c>
      <c r="J23" s="12" t="n"/>
      <c r="K23" s="10">
        <f>IF(OR($E23="Skip",$E23="Own",$E23=""),"",IFERROR(HYPERLINK(INDEX(Options!$I$2:$I$174,$F23),"buy link"),""))</f>
        <v/>
      </c>
      <c r="L23" s="11">
        <f>IF(OR($E23="Skip",$E23="Own",$E23=""),"",IFERROR(LEFT(INDEX(Options!$L$2:$L$174,$F23),140),""))</f>
        <v/>
      </c>
      <c r="M23" s="11">
        <f>IF(OR($E23="Skip",$E23="Own",$E23=""),"",IFERROR(INDEX(Options!$S$2:$S$174,$F23),""))</f>
        <v/>
      </c>
      <c r="N23">
        <f>IFERROR(INDEX(Options!$F$2:$F$174,MATCH($C23&amp;"|Budget",Options!$T$2:$T$174,0))/INDEX(Options!$R$2:$R$174,MATCH($C23&amp;"|Budget",Options!$T$2:$T$174,0)),0)</f>
        <v/>
      </c>
      <c r="O23">
        <f>IFERROR(INDEX(Options!$H$2:$H$174,MATCH($C23&amp;"|Budget",Options!$T$2:$T$174,0))/INDEX(Options!$R$2:$R$174,MATCH($C23&amp;"|Budget",Options!$T$2:$T$174,0)),0)</f>
        <v/>
      </c>
      <c r="P23">
        <f>IFERROR(INDEX(Options!$F$2:$F$174,MATCH($C23&amp;"|Value",Options!$T$2:$T$174,0))/INDEX(Options!$R$2:$R$174,MATCH($C23&amp;"|Value",Options!$T$2:$T$174,0)),0)</f>
        <v/>
      </c>
      <c r="Q23">
        <f>IFERROR(INDEX(Options!$H$2:$H$174,MATCH($C23&amp;"|Value",Options!$T$2:$T$174,0))/INDEX(Options!$R$2:$R$174,MATCH($C23&amp;"|Value",Options!$T$2:$T$174,0)),0)</f>
        <v/>
      </c>
      <c r="R23">
        <f>IFERROR(INDEX(Options!$F$2:$F$174,MATCH($C23&amp;"|Premium",Options!$T$2:$T$174,0))/INDEX(Options!$R$2:$R$174,MATCH($C23&amp;"|Premium",Options!$T$2:$T$174,0)),0)</f>
        <v/>
      </c>
      <c r="S23">
        <f>IFERROR(INDEX(Options!$H$2:$H$174,MATCH($C23&amp;"|Premium",Options!$T$2:$T$174,0))/INDEX(Options!$R$2:$R$174,MATCH($C23&amp;"|Premium",Options!$T$2:$T$174,0)),0)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IFERROR(MATCH($C24&amp;"|"&amp;$E24,Options!$T$2:$T$174,0),"")</f>
        <v/>
      </c>
      <c r="G24" s="11">
        <f>IF(OR($E24="Skip",$E24=""),"(skipped)",IF($E24="Own","(own gear)",IFERROR(INDEX(Options!$D$2:$D$174,$F24)&amp;" -- "&amp;INDEX(Options!$E$2:$E$174,$F24),"?")))</f>
        <v/>
      </c>
      <c r="H24" s="12">
        <f>IF($E24="Own",N($J24),IF(OR($E24="Skip",$E24=""),0,IFERROR(INDEX(Options!$F$2:$F$174,$F24)/INDEX(Options!$R$2:$R$174,$F24),0)))</f>
        <v/>
      </c>
      <c r="I24" s="13">
        <f>IF($E24="Own",0,IF(OR($E24="Skip",$E24=""),0,IFERROR(INDEX(Options!$H$2:$H$174,$F24)/INDEX(Options!$R$2:$R$174,$F24),0)))</f>
        <v/>
      </c>
      <c r="J24" s="12" t="n"/>
      <c r="K24" s="10">
        <f>IF(OR($E24="Skip",$E24="Own",$E24=""),"",IFERROR(HYPERLINK(INDEX(Options!$I$2:$I$174,$F24),"buy link"),""))</f>
        <v/>
      </c>
      <c r="L24" s="11">
        <f>IF(OR($E24="Skip",$E24="Own",$E24=""),"",IFERROR(LEFT(INDEX(Options!$L$2:$L$174,$F24),140),""))</f>
        <v/>
      </c>
      <c r="M24" s="11">
        <f>IF(OR($E24="Skip",$E24="Own",$E24=""),"",IFERROR(INDEX(Options!$S$2:$S$174,$F24),""))</f>
        <v/>
      </c>
      <c r="N24">
        <f>IFERROR(INDEX(Options!$F$2:$F$174,MATCH($C24&amp;"|Budget",Options!$T$2:$T$174,0))/INDEX(Options!$R$2:$R$174,MATCH($C24&amp;"|Budget",Options!$T$2:$T$174,0)),0)</f>
        <v/>
      </c>
      <c r="O24">
        <f>IFERROR(INDEX(Options!$H$2:$H$174,MATCH($C24&amp;"|Budget",Options!$T$2:$T$174,0))/INDEX(Options!$R$2:$R$174,MATCH($C24&amp;"|Budget",Options!$T$2:$T$174,0)),0)</f>
        <v/>
      </c>
      <c r="P24">
        <f>IFERROR(INDEX(Options!$F$2:$F$174,MATCH($C24&amp;"|Value",Options!$T$2:$T$174,0))/INDEX(Options!$R$2:$R$174,MATCH($C24&amp;"|Value",Options!$T$2:$T$174,0)),0)</f>
        <v/>
      </c>
      <c r="Q24">
        <f>IFERROR(INDEX(Options!$H$2:$H$174,MATCH($C24&amp;"|Value",Options!$T$2:$T$174,0))/INDEX(Options!$R$2:$R$174,MATCH($C24&amp;"|Value",Options!$T$2:$T$174,0)),0)</f>
        <v/>
      </c>
      <c r="R24">
        <f>IFERROR(INDEX(Options!$F$2:$F$174,MATCH($C24&amp;"|Premium",Options!$T$2:$T$174,0))/INDEX(Options!$R$2:$R$174,MATCH($C24&amp;"|Premium",Options!$T$2:$T$174,0)),0)</f>
        <v/>
      </c>
      <c r="S24">
        <f>IFERROR(INDEX(Options!$H$2:$H$174,MATCH($C24&amp;"|Premium",Options!$T$2:$T$174,0))/INDEX(Options!$R$2:$R$174,MATCH($C24&amp;"|Premium",Options!$T$2:$T$174,0)),0)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IFERROR(MATCH($C25&amp;"|"&amp;$E25,Options!$T$2:$T$174,0),"")</f>
        <v/>
      </c>
      <c r="G25" s="11">
        <f>IF(OR($E25="Skip",$E25=""),"(skipped)",IF($E25="Own","(own gear)",IFERROR(INDEX(Options!$D$2:$D$174,$F25)&amp;" -- "&amp;INDEX(Options!$E$2:$E$174,$F25),"?")))</f>
        <v/>
      </c>
      <c r="H25" s="12">
        <f>IF($E25="Own",N($J25),IF(OR($E25="Skip",$E25=""),0,IFERROR(INDEX(Options!$F$2:$F$174,$F25)/INDEX(Options!$R$2:$R$174,$F25),0)))</f>
        <v/>
      </c>
      <c r="I25" s="13">
        <f>IF($E25="Own",0,IF(OR($E25="Skip",$E25=""),0,IFERROR(INDEX(Options!$H$2:$H$174,$F25)/INDEX(Options!$R$2:$R$174,$F25),0)))</f>
        <v/>
      </c>
      <c r="J25" s="12" t="n"/>
      <c r="K25" s="10">
        <f>IF(OR($E25="Skip",$E25="Own",$E25=""),"",IFERROR(HYPERLINK(INDEX(Options!$I$2:$I$174,$F25),"buy link"),""))</f>
        <v/>
      </c>
      <c r="L25" s="11">
        <f>IF(OR($E25="Skip",$E25="Own",$E25=""),"",IFERROR(LEFT(INDEX(Options!$L$2:$L$174,$F25),140),""))</f>
        <v/>
      </c>
      <c r="M25" s="11">
        <f>IF(OR($E25="Skip",$E25="Own",$E25=""),"",IFERROR(INDEX(Options!$S$2:$S$174,$F25),""))</f>
        <v/>
      </c>
      <c r="N25">
        <f>IFERROR(INDEX(Options!$F$2:$F$174,MATCH($C25&amp;"|Budget",Options!$T$2:$T$174,0))/INDEX(Options!$R$2:$R$174,MATCH($C25&amp;"|Budget",Options!$T$2:$T$174,0)),0)</f>
        <v/>
      </c>
      <c r="O25">
        <f>IFERROR(INDEX(Options!$H$2:$H$174,MATCH($C25&amp;"|Budget",Options!$T$2:$T$174,0))/INDEX(Options!$R$2:$R$174,MATCH($C25&amp;"|Budget",Options!$T$2:$T$174,0)),0)</f>
        <v/>
      </c>
      <c r="P25">
        <f>IFERROR(INDEX(Options!$F$2:$F$174,MATCH($C25&amp;"|Value",Options!$T$2:$T$174,0))/INDEX(Options!$R$2:$R$174,MATCH($C25&amp;"|Value",Options!$T$2:$T$174,0)),0)</f>
        <v/>
      </c>
      <c r="Q25">
        <f>IFERROR(INDEX(Options!$H$2:$H$174,MATCH($C25&amp;"|Value",Options!$T$2:$T$174,0))/INDEX(Options!$R$2:$R$174,MATCH($C25&amp;"|Value",Options!$T$2:$T$174,0)),0)</f>
        <v/>
      </c>
      <c r="R25">
        <f>IFERROR(INDEX(Options!$F$2:$F$174,MATCH($C25&amp;"|Premium",Options!$T$2:$T$174,0))/INDEX(Options!$R$2:$R$174,MATCH($C25&amp;"|Premium",Options!$T$2:$T$174,0)),0)</f>
        <v/>
      </c>
      <c r="S25">
        <f>IFERROR(INDEX(Options!$H$2:$H$174,MATCH($C25&amp;"|Premium",Options!$T$2:$T$174,0))/INDEX(Options!$R$2:$R$174,MATCH($C25&amp;"|Premium",Options!$T$2:$T$174,0)),0)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IFERROR(MATCH($C26&amp;"|"&amp;$E26,Options!$T$2:$T$174,0),"")</f>
        <v/>
      </c>
      <c r="G26" s="11">
        <f>IF(OR($E26="Skip",$E26=""),"(skipped)",IF($E26="Own","(own gear)",IFERROR(INDEX(Options!$D$2:$D$174,$F26)&amp;" -- "&amp;INDEX(Options!$E$2:$E$174,$F26),"?")))</f>
        <v/>
      </c>
      <c r="H26" s="12">
        <f>IF($E26="Own",N($J26),IF(OR($E26="Skip",$E26=""),0,IFERROR(INDEX(Options!$F$2:$F$174,$F26)/INDEX(Options!$R$2:$R$174,$F26),0)))</f>
        <v/>
      </c>
      <c r="I26" s="13">
        <f>IF($E26="Own",0,IF(OR($E26="Skip",$E26=""),0,IFERROR(INDEX(Options!$H$2:$H$174,$F26)/INDEX(Options!$R$2:$R$174,$F26),0)))</f>
        <v/>
      </c>
      <c r="J26" s="12" t="n"/>
      <c r="K26" s="10">
        <f>IF(OR($E26="Skip",$E26="Own",$E26=""),"",IFERROR(HYPERLINK(INDEX(Options!$I$2:$I$174,$F26),"buy link"),""))</f>
        <v/>
      </c>
      <c r="L26" s="11">
        <f>IF(OR($E26="Skip",$E26="Own",$E26=""),"",IFERROR(LEFT(INDEX(Options!$L$2:$L$174,$F26),140),""))</f>
        <v/>
      </c>
      <c r="M26" s="11">
        <f>IF(OR($E26="Skip",$E26="Own",$E26=""),"",IFERROR(INDEX(Options!$S$2:$S$174,$F26),""))</f>
        <v/>
      </c>
      <c r="N26">
        <f>IFERROR(INDEX(Options!$F$2:$F$174,MATCH($C26&amp;"|Budget",Options!$T$2:$T$174,0))/INDEX(Options!$R$2:$R$174,MATCH($C26&amp;"|Budget",Options!$T$2:$T$174,0)),0)</f>
        <v/>
      </c>
      <c r="O26">
        <f>IFERROR(INDEX(Options!$H$2:$H$174,MATCH($C26&amp;"|Budget",Options!$T$2:$T$174,0))/INDEX(Options!$R$2:$R$174,MATCH($C26&amp;"|Budget",Options!$T$2:$T$174,0)),0)</f>
        <v/>
      </c>
      <c r="P26">
        <f>IFERROR(INDEX(Options!$F$2:$F$174,MATCH($C26&amp;"|Value",Options!$T$2:$T$174,0))/INDEX(Options!$R$2:$R$174,MATCH($C26&amp;"|Value",Options!$T$2:$T$174,0)),0)</f>
        <v/>
      </c>
      <c r="Q26">
        <f>IFERROR(INDEX(Options!$H$2:$H$174,MATCH($C26&amp;"|Value",Options!$T$2:$T$174,0))/INDEX(Options!$R$2:$R$174,MATCH($C26&amp;"|Value",Options!$T$2:$T$174,0)),0)</f>
        <v/>
      </c>
      <c r="R26">
        <f>IFERROR(INDEX(Options!$F$2:$F$174,MATCH($C26&amp;"|Premium",Options!$T$2:$T$174,0))/INDEX(Options!$R$2:$R$174,MATCH($C26&amp;"|Premium",Options!$T$2:$T$174,0)),0)</f>
        <v/>
      </c>
      <c r="S26">
        <f>IFERROR(INDEX(Options!$H$2:$H$174,MATCH($C26&amp;"|Premium",Options!$T$2:$T$174,0))/INDEX(Options!$R$2:$R$174,MATCH($C26&amp;"|Premium",Options!$T$2:$T$174,0)),0)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IFERROR(MATCH($C27&amp;"|"&amp;$E27,Options!$T$2:$T$174,0),"")</f>
        <v/>
      </c>
      <c r="G27" s="11">
        <f>IF(OR($E27="Skip",$E27=""),"(skipped)",IF($E27="Own","(own gear)",IFERROR(INDEX(Options!$D$2:$D$174,$F27)&amp;" -- "&amp;INDEX(Options!$E$2:$E$174,$F27),"?")))</f>
        <v/>
      </c>
      <c r="H27" s="12">
        <f>IF($E27="Own",N($J27),IF(OR($E27="Skip",$E27=""),0,IFERROR(INDEX(Options!$F$2:$F$174,$F27)/INDEX(Options!$R$2:$R$174,$F27),0)))</f>
        <v/>
      </c>
      <c r="I27" s="13">
        <f>IF($E27="Own",0,IF(OR($E27="Skip",$E27=""),0,IFERROR(INDEX(Options!$H$2:$H$174,$F27)/INDEX(Options!$R$2:$R$174,$F27),0)))</f>
        <v/>
      </c>
      <c r="J27" s="12" t="n"/>
      <c r="K27" s="10">
        <f>IF(OR($E27="Skip",$E27="Own",$E27=""),"",IFERROR(HYPERLINK(INDEX(Options!$I$2:$I$174,$F27),"buy link"),""))</f>
        <v/>
      </c>
      <c r="L27" s="11">
        <f>IF(OR($E27="Skip",$E27="Own",$E27=""),"",IFERROR(LEFT(INDEX(Options!$L$2:$L$174,$F27),140),""))</f>
        <v/>
      </c>
      <c r="M27" s="11">
        <f>IF(OR($E27="Skip",$E27="Own",$E27=""),"",IFERROR(INDEX(Options!$S$2:$S$174,$F27),""))</f>
        <v/>
      </c>
      <c r="N27">
        <f>IFERROR(INDEX(Options!$F$2:$F$174,MATCH($C27&amp;"|Budget",Options!$T$2:$T$174,0))/INDEX(Options!$R$2:$R$174,MATCH($C27&amp;"|Budget",Options!$T$2:$T$174,0)),0)</f>
        <v/>
      </c>
      <c r="O27">
        <f>IFERROR(INDEX(Options!$H$2:$H$174,MATCH($C27&amp;"|Budget",Options!$T$2:$T$174,0))/INDEX(Options!$R$2:$R$174,MATCH($C27&amp;"|Budget",Options!$T$2:$T$174,0)),0)</f>
        <v/>
      </c>
      <c r="P27">
        <f>IFERROR(INDEX(Options!$F$2:$F$174,MATCH($C27&amp;"|Value",Options!$T$2:$T$174,0))/INDEX(Options!$R$2:$R$174,MATCH($C27&amp;"|Value",Options!$T$2:$T$174,0)),0)</f>
        <v/>
      </c>
      <c r="Q27">
        <f>IFERROR(INDEX(Options!$H$2:$H$174,MATCH($C27&amp;"|Value",Options!$T$2:$T$174,0))/INDEX(Options!$R$2:$R$174,MATCH($C27&amp;"|Value",Options!$T$2:$T$174,0)),0)</f>
        <v/>
      </c>
      <c r="R27">
        <f>IFERROR(INDEX(Options!$F$2:$F$174,MATCH($C27&amp;"|Premium",Options!$T$2:$T$174,0))/INDEX(Options!$R$2:$R$174,MATCH($C27&amp;"|Premium",Options!$T$2:$T$174,0)),0)</f>
        <v/>
      </c>
      <c r="S27">
        <f>IFERROR(INDEX(Options!$H$2:$H$174,MATCH($C27&amp;"|Premium",Options!$T$2:$T$174,0))/INDEX(Options!$R$2:$R$174,MATCH($C27&amp;"|Premium",Options!$T$2:$T$174,0)),0)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IFERROR(MATCH($C28&amp;"|"&amp;$E28,Options!$T$2:$T$174,0),"")</f>
        <v/>
      </c>
      <c r="G28" s="11">
        <f>IF(OR($E28="Skip",$E28=""),"(skipped)",IF($E28="Own","(own gear)",IFERROR(INDEX(Options!$D$2:$D$174,$F28)&amp;" -- "&amp;INDEX(Options!$E$2:$E$174,$F28),"?")))</f>
        <v/>
      </c>
      <c r="H28" s="12">
        <f>IF($E28="Own",N($J28),IF(OR($E28="Skip",$E28=""),0,IFERROR(INDEX(Options!$F$2:$F$174,$F28)/INDEX(Options!$R$2:$R$174,$F28),0)))</f>
        <v/>
      </c>
      <c r="I28" s="13">
        <f>IF($E28="Own",0,IF(OR($E28="Skip",$E28=""),0,IFERROR(INDEX(Options!$H$2:$H$174,$F28)/INDEX(Options!$R$2:$R$174,$F28),0)))</f>
        <v/>
      </c>
      <c r="J28" s="12" t="n"/>
      <c r="K28" s="10">
        <f>IF(OR($E28="Skip",$E28="Own",$E28=""),"",IFERROR(HYPERLINK(INDEX(Options!$I$2:$I$174,$F28),"buy link"),""))</f>
        <v/>
      </c>
      <c r="L28" s="11">
        <f>IF(OR($E28="Skip",$E28="Own",$E28=""),"",IFERROR(LEFT(INDEX(Options!$L$2:$L$174,$F28),140),""))</f>
        <v/>
      </c>
      <c r="M28" s="11">
        <f>IF(OR($E28="Skip",$E28="Own",$E28=""),"",IFERROR(INDEX(Options!$S$2:$S$174,$F28),""))</f>
        <v/>
      </c>
      <c r="N28">
        <f>IFERROR(INDEX(Options!$F$2:$F$174,MATCH($C28&amp;"|Budget",Options!$T$2:$T$174,0))/INDEX(Options!$R$2:$R$174,MATCH($C28&amp;"|Budget",Options!$T$2:$T$174,0)),0)</f>
        <v/>
      </c>
      <c r="O28">
        <f>IFERROR(INDEX(Options!$H$2:$H$174,MATCH($C28&amp;"|Budget",Options!$T$2:$T$174,0))/INDEX(Options!$R$2:$R$174,MATCH($C28&amp;"|Budget",Options!$T$2:$T$174,0)),0)</f>
        <v/>
      </c>
      <c r="P28">
        <f>IFERROR(INDEX(Options!$F$2:$F$174,MATCH($C28&amp;"|Value",Options!$T$2:$T$174,0))/INDEX(Options!$R$2:$R$174,MATCH($C28&amp;"|Value",Options!$T$2:$T$174,0)),0)</f>
        <v/>
      </c>
      <c r="Q28">
        <f>IFERROR(INDEX(Options!$H$2:$H$174,MATCH($C28&amp;"|Value",Options!$T$2:$T$174,0))/INDEX(Options!$R$2:$R$174,MATCH($C28&amp;"|Value",Options!$T$2:$T$174,0)),0)</f>
        <v/>
      </c>
      <c r="R28">
        <f>IFERROR(INDEX(Options!$F$2:$F$174,MATCH($C28&amp;"|Premium",Options!$T$2:$T$174,0))/INDEX(Options!$R$2:$R$174,MATCH($C28&amp;"|Premium",Options!$T$2:$T$174,0)),0)</f>
        <v/>
      </c>
      <c r="S28">
        <f>IFERROR(INDEX(Options!$H$2:$H$174,MATCH($C28&amp;"|Premium",Options!$T$2:$T$174,0))/INDEX(Options!$R$2:$R$174,MATCH($C28&amp;"|Premium",Options!$T$2:$T$174,0)),0)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IFERROR(MATCH($C29&amp;"|"&amp;$E29,Options!$T$2:$T$174,0),"")</f>
        <v/>
      </c>
      <c r="G29" s="11">
        <f>IF(OR($E29="Skip",$E29=""),"(skipped)",IF($E29="Own","(own gear)",IFERROR(INDEX(Options!$D$2:$D$174,$F29)&amp;" -- "&amp;INDEX(Options!$E$2:$E$174,$F29),"?")))</f>
        <v/>
      </c>
      <c r="H29" s="12">
        <f>IF($E29="Own",N($J29),IF(OR($E29="Skip",$E29=""),0,IFERROR(INDEX(Options!$F$2:$F$174,$F29)/INDEX(Options!$R$2:$R$174,$F29),0)))</f>
        <v/>
      </c>
      <c r="I29" s="13">
        <f>IF($E29="Own",0,IF(OR($E29="Skip",$E29=""),0,IFERROR(INDEX(Options!$H$2:$H$174,$F29)/INDEX(Options!$R$2:$R$174,$F29),0)))</f>
        <v/>
      </c>
      <c r="J29" s="12" t="n"/>
      <c r="K29" s="10">
        <f>IF(OR($E29="Skip",$E29="Own",$E29=""),"",IFERROR(HYPERLINK(INDEX(Options!$I$2:$I$174,$F29),"buy link"),""))</f>
        <v/>
      </c>
      <c r="L29" s="11">
        <f>IF(OR($E29="Skip",$E29="Own",$E29=""),"",IFERROR(LEFT(INDEX(Options!$L$2:$L$174,$F29),140),""))</f>
        <v/>
      </c>
      <c r="M29" s="11">
        <f>IF(OR($E29="Skip",$E29="Own",$E29=""),"",IFERROR(INDEX(Options!$S$2:$S$174,$F29),""))</f>
        <v/>
      </c>
      <c r="N29">
        <f>IFERROR(INDEX(Options!$F$2:$F$174,MATCH($C29&amp;"|Budget",Options!$T$2:$T$174,0))/INDEX(Options!$R$2:$R$174,MATCH($C29&amp;"|Budget",Options!$T$2:$T$174,0)),0)</f>
        <v/>
      </c>
      <c r="O29">
        <f>IFERROR(INDEX(Options!$H$2:$H$174,MATCH($C29&amp;"|Budget",Options!$T$2:$T$174,0))/INDEX(Options!$R$2:$R$174,MATCH($C29&amp;"|Budget",Options!$T$2:$T$174,0)),0)</f>
        <v/>
      </c>
      <c r="P29">
        <f>IFERROR(INDEX(Options!$F$2:$F$174,MATCH($C29&amp;"|Value",Options!$T$2:$T$174,0))/INDEX(Options!$R$2:$R$174,MATCH($C29&amp;"|Value",Options!$T$2:$T$174,0)),0)</f>
        <v/>
      </c>
      <c r="Q29">
        <f>IFERROR(INDEX(Options!$H$2:$H$174,MATCH($C29&amp;"|Value",Options!$T$2:$T$174,0))/INDEX(Options!$R$2:$R$174,MATCH($C29&amp;"|Value",Options!$T$2:$T$174,0)),0)</f>
        <v/>
      </c>
      <c r="R29">
        <f>IFERROR(INDEX(Options!$F$2:$F$174,MATCH($C29&amp;"|Premium",Options!$T$2:$T$174,0))/INDEX(Options!$R$2:$R$174,MATCH($C29&amp;"|Premium",Options!$T$2:$T$174,0)),0)</f>
        <v/>
      </c>
      <c r="S29">
        <f>IFERROR(INDEX(Options!$H$2:$H$174,MATCH($C29&amp;"|Premium",Options!$T$2:$T$174,0))/INDEX(Options!$R$2:$R$174,MATCH($C29&amp;"|Premium",Options!$T$2:$T$174,0)),0)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IFERROR(MATCH($C30&amp;"|"&amp;$E30,Options!$T$2:$T$174,0),"")</f>
        <v/>
      </c>
      <c r="G30" s="11">
        <f>IF(OR($E30="Skip",$E30=""),"(skipped)",IF($E30="Own","(own gear)",IFERROR(INDEX(Options!$D$2:$D$174,$F30)&amp;" -- "&amp;INDEX(Options!$E$2:$E$174,$F30),"?")))</f>
        <v/>
      </c>
      <c r="H30" s="12">
        <f>IF($E30="Own",N($J30),IF(OR($E30="Skip",$E30=""),0,IFERROR(INDEX(Options!$F$2:$F$174,$F30)/INDEX(Options!$R$2:$R$174,$F30),0)))</f>
        <v/>
      </c>
      <c r="I30" s="13">
        <f>IF($E30="Own",0,IF(OR($E30="Skip",$E30=""),0,IFERROR(INDEX(Options!$H$2:$H$174,$F30)/INDEX(Options!$R$2:$R$174,$F30),0)))</f>
        <v/>
      </c>
      <c r="J30" s="12" t="n"/>
      <c r="K30" s="10">
        <f>IF(OR($E30="Skip",$E30="Own",$E30=""),"",IFERROR(HYPERLINK(INDEX(Options!$I$2:$I$174,$F30),"buy link"),""))</f>
        <v/>
      </c>
      <c r="L30" s="11">
        <f>IF(OR($E30="Skip",$E30="Own",$E30=""),"",IFERROR(LEFT(INDEX(Options!$L$2:$L$174,$F30),140),""))</f>
        <v/>
      </c>
      <c r="M30" s="11">
        <f>IF(OR($E30="Skip",$E30="Own",$E30=""),"",IFERROR(INDEX(Options!$S$2:$S$174,$F30),""))</f>
        <v/>
      </c>
      <c r="N30">
        <f>IFERROR(INDEX(Options!$F$2:$F$174,MATCH($C30&amp;"|Budget",Options!$T$2:$T$174,0))/INDEX(Options!$R$2:$R$174,MATCH($C30&amp;"|Budget",Options!$T$2:$T$174,0)),0)</f>
        <v/>
      </c>
      <c r="O30">
        <f>IFERROR(INDEX(Options!$H$2:$H$174,MATCH($C30&amp;"|Budget",Options!$T$2:$T$174,0))/INDEX(Options!$R$2:$R$174,MATCH($C30&amp;"|Budget",Options!$T$2:$T$174,0)),0)</f>
        <v/>
      </c>
      <c r="P30">
        <f>IFERROR(INDEX(Options!$F$2:$F$174,MATCH($C30&amp;"|Value",Options!$T$2:$T$174,0))/INDEX(Options!$R$2:$R$174,MATCH($C30&amp;"|Value",Options!$T$2:$T$174,0)),0)</f>
        <v/>
      </c>
      <c r="Q30">
        <f>IFERROR(INDEX(Options!$H$2:$H$174,MATCH($C30&amp;"|Value",Options!$T$2:$T$174,0))/INDEX(Options!$R$2:$R$174,MATCH($C30&amp;"|Value",Options!$T$2:$T$174,0)),0)</f>
        <v/>
      </c>
      <c r="R30">
        <f>IFERROR(INDEX(Options!$F$2:$F$174,MATCH($C30&amp;"|Premium",Options!$T$2:$T$174,0))/INDEX(Options!$R$2:$R$174,MATCH($C30&amp;"|Premium",Options!$T$2:$T$174,0)),0)</f>
        <v/>
      </c>
      <c r="S30">
        <f>IFERROR(INDEX(Options!$H$2:$H$174,MATCH($C30&amp;"|Premium",Options!$T$2:$T$174,0))/INDEX(Options!$R$2:$R$174,MATCH($C30&amp;"|Premium",Options!$T$2:$T$174,0)),0)</f>
        <v/>
      </c>
    </row>
    <row r="31">
      <c r="A31" s="10" t="inlineStr">
        <is>
          <t>Overnight Pack</t>
        </is>
      </c>
      <c r="B31" s="10" t="inlineStr">
        <is>
          <t>Headlamp</t>
        </is>
      </c>
      <c r="C31" s="10" t="inlineStr">
        <is>
          <t>headlamp</t>
        </is>
      </c>
      <c r="D31" s="10" t="inlineStr">
        <is>
          <t>must</t>
        </is>
      </c>
      <c r="E31" s="10" t="inlineStr">
        <is>
          <t>Value</t>
        </is>
      </c>
      <c r="F31" s="10">
        <f>IFERROR(MATCH($C31&amp;"|"&amp;$E31,Options!$T$2:$T$174,0),"")</f>
        <v/>
      </c>
      <c r="G31" s="11">
        <f>IF(OR($E31="Skip",$E31=""),"(skipped)",IF($E31="Own","(own gear)",IFERROR(INDEX(Options!$D$2:$D$174,$F31)&amp;" -- "&amp;INDEX(Options!$E$2:$E$174,$F31),"?")))</f>
        <v/>
      </c>
      <c r="H31" s="12">
        <f>IF($E31="Own",N($J31),IF(OR($E31="Skip",$E31=""),0,IFERROR(INDEX(Options!$F$2:$F$174,$F31)/INDEX(Options!$R$2:$R$174,$F31),0)))</f>
        <v/>
      </c>
      <c r="I31" s="13">
        <f>IF($E31="Own",0,IF(OR($E31="Skip",$E31=""),0,IFERROR(INDEX(Options!$H$2:$H$174,$F31)/INDEX(Options!$R$2:$R$174,$F31),0)))</f>
        <v/>
      </c>
      <c r="J31" s="12" t="n"/>
      <c r="K31" s="10">
        <f>IF(OR($E31="Skip",$E31="Own",$E31=""),"",IFERROR(HYPERLINK(INDEX(Options!$I$2:$I$174,$F31),"buy link"),""))</f>
        <v/>
      </c>
      <c r="L31" s="11">
        <f>IF(OR($E31="Skip",$E31="Own",$E31=""),"",IFERROR(LEFT(INDEX(Options!$L$2:$L$174,$F31),140),""))</f>
        <v/>
      </c>
      <c r="M31" s="11">
        <f>IF(OR($E31="Skip",$E31="Own",$E31=""),"",IFERROR(INDEX(Options!$S$2:$S$174,$F31),""))</f>
        <v/>
      </c>
      <c r="N31">
        <f>IFERROR(INDEX(Options!$F$2:$F$174,MATCH($C31&amp;"|Budget",Options!$T$2:$T$174,0))/INDEX(Options!$R$2:$R$174,MATCH($C31&amp;"|Budget",Options!$T$2:$T$174,0)),0)</f>
        <v/>
      </c>
      <c r="O31">
        <f>IFERROR(INDEX(Options!$H$2:$H$174,MATCH($C31&amp;"|Budget",Options!$T$2:$T$174,0))/INDEX(Options!$R$2:$R$174,MATCH($C31&amp;"|Budget",Options!$T$2:$T$174,0)),0)</f>
        <v/>
      </c>
      <c r="P31">
        <f>IFERROR(INDEX(Options!$F$2:$F$174,MATCH($C31&amp;"|Value",Options!$T$2:$T$174,0))/INDEX(Options!$R$2:$R$174,MATCH($C31&amp;"|Value",Options!$T$2:$T$174,0)),0)</f>
        <v/>
      </c>
      <c r="Q31">
        <f>IFERROR(INDEX(Options!$H$2:$H$174,MATCH($C31&amp;"|Value",Options!$T$2:$T$174,0))/INDEX(Options!$R$2:$R$174,MATCH($C31&amp;"|Value",Options!$T$2:$T$174,0)),0)</f>
        <v/>
      </c>
      <c r="R31">
        <f>IFERROR(INDEX(Options!$F$2:$F$174,MATCH($C31&amp;"|Premium",Options!$T$2:$T$174,0))/INDEX(Options!$R$2:$R$174,MATCH($C31&amp;"|Premium",Options!$T$2:$T$174,0)),0)</f>
        <v/>
      </c>
      <c r="S31">
        <f>IFERROR(INDEX(Options!$H$2:$H$174,MATCH($C31&amp;"|Premium",Options!$T$2:$T$174,0))/INDEX(Options!$R$2:$R$174,MATCH($C31&amp;"|Premium",Options!$T$2:$T$174,0)),0)</f>
        <v/>
      </c>
    </row>
    <row r="32">
      <c r="A32" s="10" t="inlineStr">
        <is>
          <t>Overnight Pack</t>
        </is>
      </c>
      <c r="B32" s="10" t="inlineStr">
        <is>
          <t>Power bank</t>
        </is>
      </c>
      <c r="C32" s="10" t="inlineStr">
        <is>
          <t>power bank</t>
        </is>
      </c>
      <c r="D32" s="10" t="inlineStr">
        <is>
          <t>nice</t>
        </is>
      </c>
      <c r="E32" s="10" t="inlineStr">
        <is>
          <t>Value</t>
        </is>
      </c>
      <c r="F32" s="10">
        <f>IFERROR(MATCH($C32&amp;"|"&amp;$E32,Options!$T$2:$T$174,0),"")</f>
        <v/>
      </c>
      <c r="G32" s="11">
        <f>IF(OR($E32="Skip",$E32=""),"(skipped)",IF($E32="Own","(own gear)",IFERROR(INDEX(Options!$D$2:$D$174,$F32)&amp;" -- "&amp;INDEX(Options!$E$2:$E$174,$F32),"?")))</f>
        <v/>
      </c>
      <c r="H32" s="12">
        <f>IF($E32="Own",N($J32),IF(OR($E32="Skip",$E32=""),0,IFERROR(INDEX(Options!$F$2:$F$174,$F32)/INDEX(Options!$R$2:$R$174,$F32),0)))</f>
        <v/>
      </c>
      <c r="I32" s="13">
        <f>IF($E32="Own",0,IF(OR($E32="Skip",$E32=""),0,IFERROR(INDEX(Options!$H$2:$H$174,$F32)/INDEX(Options!$R$2:$R$174,$F32),0)))</f>
        <v/>
      </c>
      <c r="J32" s="12" t="n"/>
      <c r="K32" s="10">
        <f>IF(OR($E32="Skip",$E32="Own",$E32=""),"",IFERROR(HYPERLINK(INDEX(Options!$I$2:$I$174,$F32),"buy link"),""))</f>
        <v/>
      </c>
      <c r="L32" s="11">
        <f>IF(OR($E32="Skip",$E32="Own",$E32=""),"",IFERROR(LEFT(INDEX(Options!$L$2:$L$174,$F32),140),""))</f>
        <v/>
      </c>
      <c r="M32" s="11">
        <f>IF(OR($E32="Skip",$E32="Own",$E32=""),"",IFERROR(INDEX(Options!$S$2:$S$174,$F32),""))</f>
        <v/>
      </c>
      <c r="N32">
        <f>IFERROR(INDEX(Options!$F$2:$F$174,MATCH($C32&amp;"|Budget",Options!$T$2:$T$174,0))/INDEX(Options!$R$2:$R$174,MATCH($C32&amp;"|Budget",Options!$T$2:$T$174,0)),0)</f>
        <v/>
      </c>
      <c r="O32">
        <f>IFERROR(INDEX(Options!$H$2:$H$174,MATCH($C32&amp;"|Budget",Options!$T$2:$T$174,0))/INDEX(Options!$R$2:$R$174,MATCH($C32&amp;"|Budget",Options!$T$2:$T$174,0)),0)</f>
        <v/>
      </c>
      <c r="P32">
        <f>IFERROR(INDEX(Options!$F$2:$F$174,MATCH($C32&amp;"|Value",Options!$T$2:$T$174,0))/INDEX(Options!$R$2:$R$174,MATCH($C32&amp;"|Value",Options!$T$2:$T$174,0)),0)</f>
        <v/>
      </c>
      <c r="Q32">
        <f>IFERROR(INDEX(Options!$H$2:$H$174,MATCH($C32&amp;"|Value",Options!$T$2:$T$174,0))/INDEX(Options!$R$2:$R$174,MATCH($C32&amp;"|Value",Options!$T$2:$T$174,0)),0)</f>
        <v/>
      </c>
      <c r="R32">
        <f>IFERROR(INDEX(Options!$F$2:$F$174,MATCH($C32&amp;"|Premium",Options!$T$2:$T$174,0))/INDEX(Options!$R$2:$R$174,MATCH($C32&amp;"|Premium",Options!$T$2:$T$174,0)),0)</f>
        <v/>
      </c>
      <c r="S32">
        <f>IFERROR(INDEX(Options!$H$2:$H$174,MATCH($C32&amp;"|Premium",Options!$T$2:$T$174,0))/INDEX(Options!$R$2:$R$174,MATCH($C32&amp;"|Premium",Options!$T$2:$T$174,0)),0)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IFERROR(MATCH($C33&amp;"|"&amp;$E33,Options!$T$2:$T$174,0),"")</f>
        <v/>
      </c>
      <c r="G33" s="11">
        <f>IF(OR($E33="Skip",$E33=""),"(skipped)",IF($E33="Own","(own gear)",IFERROR(INDEX(Options!$D$2:$D$174,$F33)&amp;" -- "&amp;INDEX(Options!$E$2:$E$174,$F33),"?")))</f>
        <v/>
      </c>
      <c r="H33" s="12">
        <f>IF($E33="Own",N($J33),IF(OR($E33="Skip",$E33=""),0,IFERROR(INDEX(Options!$F$2:$F$174,$F33)/INDEX(Options!$R$2:$R$174,$F33),0)))</f>
        <v/>
      </c>
      <c r="I33" s="13">
        <f>IF($E33="Own",0,IF(OR($E33="Skip",$E33=""),0,IFERROR(INDEX(Options!$H$2:$H$174,$F33)/INDEX(Options!$R$2:$R$174,$F33),0)))</f>
        <v/>
      </c>
      <c r="J33" s="12" t="n"/>
      <c r="K33" s="10">
        <f>IF(OR($E33="Skip",$E33="Own",$E33=""),"",IFERROR(HYPERLINK(INDEX(Options!$I$2:$I$174,$F33),"buy link"),""))</f>
        <v/>
      </c>
      <c r="L33" s="11">
        <f>IF(OR($E33="Skip",$E33="Own",$E33=""),"",IFERROR(LEFT(INDEX(Options!$L$2:$L$174,$F33),140),""))</f>
        <v/>
      </c>
      <c r="M33" s="11">
        <f>IF(OR($E33="Skip",$E33="Own",$E33=""),"",IFERROR(INDEX(Options!$S$2:$S$174,$F33),""))</f>
        <v/>
      </c>
      <c r="N33">
        <f>IFERROR(INDEX(Options!$F$2:$F$174,MATCH($C33&amp;"|Budget",Options!$T$2:$T$174,0))/INDEX(Options!$R$2:$R$174,MATCH($C33&amp;"|Budget",Options!$T$2:$T$174,0)),0)</f>
        <v/>
      </c>
      <c r="O33">
        <f>IFERROR(INDEX(Options!$H$2:$H$174,MATCH($C33&amp;"|Budget",Options!$T$2:$T$174,0))/INDEX(Options!$R$2:$R$174,MATCH($C33&amp;"|Budget",Options!$T$2:$T$174,0)),0)</f>
        <v/>
      </c>
      <c r="P33">
        <f>IFERROR(INDEX(Options!$F$2:$F$174,MATCH($C33&amp;"|Value",Options!$T$2:$T$174,0))/INDEX(Options!$R$2:$R$174,MATCH($C33&amp;"|Value",Options!$T$2:$T$174,0)),0)</f>
        <v/>
      </c>
      <c r="Q33">
        <f>IFERROR(INDEX(Options!$H$2:$H$174,MATCH($C33&amp;"|Value",Options!$T$2:$T$174,0))/INDEX(Options!$R$2:$R$174,MATCH($C33&amp;"|Value",Options!$T$2:$T$174,0)),0)</f>
        <v/>
      </c>
      <c r="R33">
        <f>IFERROR(INDEX(Options!$F$2:$F$174,MATCH($C33&amp;"|Premium",Options!$T$2:$T$174,0))/INDEX(Options!$R$2:$R$174,MATCH($C33&amp;"|Premium",Options!$T$2:$T$174,0)),0)</f>
        <v/>
      </c>
      <c r="S33">
        <f>IFERROR(INDEX(Options!$H$2:$H$174,MATCH($C33&amp;"|Premium",Options!$T$2:$T$174,0))/INDEX(Options!$R$2:$R$174,MATCH($C33&amp;"|Premium",Options!$T$2:$T$174,0)),0)</f>
        <v/>
      </c>
    </row>
    <row r="34">
      <c r="A34" s="10" t="inlineStr">
        <is>
          <t>Overnight Pack</t>
        </is>
      </c>
      <c r="B34" s="10" t="inlineStr">
        <is>
          <t>Personal toiletries/hygiene kit</t>
        </is>
      </c>
      <c r="C34" s="10" t="inlineStr">
        <is>
          <t>toiletries</t>
        </is>
      </c>
      <c r="D34" s="10" t="inlineStr">
        <is>
          <t>must</t>
        </is>
      </c>
      <c r="E34" s="10" t="inlineStr">
        <is>
          <t>Value</t>
        </is>
      </c>
      <c r="F34" s="10">
        <f>IFERROR(MATCH($C34&amp;"|"&amp;$E34,Options!$T$2:$T$174,0),"")</f>
        <v/>
      </c>
      <c r="G34" s="11">
        <f>IF(OR($E34="Skip",$E34=""),"(skipped)",IF($E34="Own","(own gear)",IFERROR(INDEX(Options!$D$2:$D$174,$F34)&amp;" -- "&amp;INDEX(Options!$E$2:$E$174,$F34),"?")))</f>
        <v/>
      </c>
      <c r="H34" s="12">
        <f>IF($E34="Own",N($J34),IF(OR($E34="Skip",$E34=""),0,IFERROR(INDEX(Options!$F$2:$F$174,$F34)/INDEX(Options!$R$2:$R$174,$F34),0)))</f>
        <v/>
      </c>
      <c r="I34" s="13">
        <f>IF($E34="Own",0,IF(OR($E34="Skip",$E34=""),0,IFERROR(INDEX(Options!$H$2:$H$174,$F34)/INDEX(Options!$R$2:$R$174,$F34),0)))</f>
        <v/>
      </c>
      <c r="J34" s="12" t="n"/>
      <c r="K34" s="10">
        <f>IF(OR($E34="Skip",$E34="Own",$E34=""),"",IFERROR(HYPERLINK(INDEX(Options!$I$2:$I$174,$F34),"buy link"),""))</f>
        <v/>
      </c>
      <c r="L34" s="11">
        <f>IF(OR($E34="Skip",$E34="Own",$E34=""),"",IFERROR(LEFT(INDEX(Options!$L$2:$L$174,$F34),140),""))</f>
        <v/>
      </c>
      <c r="M34" s="11">
        <f>IF(OR($E34="Skip",$E34="Own",$E34=""),"",IFERROR(INDEX(Options!$S$2:$S$174,$F34),""))</f>
        <v/>
      </c>
      <c r="N34">
        <f>IFERROR(INDEX(Options!$F$2:$F$174,MATCH($C34&amp;"|Budget",Options!$T$2:$T$174,0))/INDEX(Options!$R$2:$R$174,MATCH($C34&amp;"|Budget",Options!$T$2:$T$174,0)),0)</f>
        <v/>
      </c>
      <c r="O34">
        <f>IFERROR(INDEX(Options!$H$2:$H$174,MATCH($C34&amp;"|Budget",Options!$T$2:$T$174,0))/INDEX(Options!$R$2:$R$174,MATCH($C34&amp;"|Budget",Options!$T$2:$T$174,0)),0)</f>
        <v/>
      </c>
      <c r="P34">
        <f>IFERROR(INDEX(Options!$F$2:$F$174,MATCH($C34&amp;"|Value",Options!$T$2:$T$174,0))/INDEX(Options!$R$2:$R$174,MATCH($C34&amp;"|Value",Options!$T$2:$T$174,0)),0)</f>
        <v/>
      </c>
      <c r="Q34">
        <f>IFERROR(INDEX(Options!$H$2:$H$174,MATCH($C34&amp;"|Value",Options!$T$2:$T$174,0))/INDEX(Options!$R$2:$R$174,MATCH($C34&amp;"|Value",Options!$T$2:$T$174,0)),0)</f>
        <v/>
      </c>
      <c r="R34">
        <f>IFERROR(INDEX(Options!$F$2:$F$174,MATCH($C34&amp;"|Premium",Options!$T$2:$T$174,0))/INDEX(Options!$R$2:$R$174,MATCH($C34&amp;"|Premium",Options!$T$2:$T$174,0)),0)</f>
        <v/>
      </c>
      <c r="S34">
        <f>IFERROR(INDEX(Options!$H$2:$H$174,MATCH($C34&amp;"|Premium",Options!$T$2:$T$174,0))/INDEX(Options!$R$2:$R$174,MATCH($C34&amp;"|Premium",Options!$T$2:$T$174,0)),0)</f>
        <v/>
      </c>
    </row>
    <row r="35">
      <c r="A35" s="10" t="inlineStr">
        <is>
          <t>Overnight Pack</t>
        </is>
      </c>
      <c r="B35" s="10" t="inlineStr">
        <is>
          <t>Cathole trowel (shared)</t>
        </is>
      </c>
      <c r="C35" s="10" t="inlineStr">
        <is>
          <t>cathole_trowel</t>
        </is>
      </c>
      <c r="D35" s="10" t="inlineStr">
        <is>
          <t>must</t>
        </is>
      </c>
      <c r="E35" s="10" t="inlineStr">
        <is>
          <t>Value</t>
        </is>
      </c>
      <c r="F35" s="10">
        <f>IFERROR(MATCH($C35&amp;"|"&amp;$E35,Options!$T$2:$T$174,0),"")</f>
        <v/>
      </c>
      <c r="G35" s="11">
        <f>IF(OR($E35="Skip",$E35=""),"(skipped)",IF($E35="Own","(own gear)",IFERROR(INDEX(Options!$D$2:$D$174,$F35)&amp;" -- "&amp;INDEX(Options!$E$2:$E$174,$F35),"?")))</f>
        <v/>
      </c>
      <c r="H35" s="12">
        <f>IF($E35="Own",N($J35),IF(OR($E35="Skip",$E35=""),0,IFERROR(INDEX(Options!$F$2:$F$174,$F35)/INDEX(Options!$R$2:$R$174,$F35),0)))</f>
        <v/>
      </c>
      <c r="I35" s="13">
        <f>IF($E35="Own",0,IF(OR($E35="Skip",$E35=""),0,IFERROR(INDEX(Options!$H$2:$H$174,$F35)/INDEX(Options!$R$2:$R$174,$F35),0)))</f>
        <v/>
      </c>
      <c r="J35" s="12" t="n"/>
      <c r="K35" s="10">
        <f>IF(OR($E35="Skip",$E35="Own",$E35=""),"",IFERROR(HYPERLINK(INDEX(Options!$I$2:$I$174,$F35),"buy link"),""))</f>
        <v/>
      </c>
      <c r="L35" s="11">
        <f>IF(OR($E35="Skip",$E35="Own",$E35=""),"",IFERROR(LEFT(INDEX(Options!$L$2:$L$174,$F35),140),""))</f>
        <v/>
      </c>
      <c r="M35" s="11">
        <f>IF(OR($E35="Skip",$E35="Own",$E35=""),"",IFERROR(INDEX(Options!$S$2:$S$174,$F35),""))</f>
        <v/>
      </c>
      <c r="N35">
        <f>IFERROR(INDEX(Options!$F$2:$F$174,MATCH($C35&amp;"|Budget",Options!$T$2:$T$174,0))/INDEX(Options!$R$2:$R$174,MATCH($C35&amp;"|Budget",Options!$T$2:$T$174,0)),0)</f>
        <v/>
      </c>
      <c r="O35">
        <f>IFERROR(INDEX(Options!$H$2:$H$174,MATCH($C35&amp;"|Budget",Options!$T$2:$T$174,0))/INDEX(Options!$R$2:$R$174,MATCH($C35&amp;"|Budget",Options!$T$2:$T$174,0)),0)</f>
        <v/>
      </c>
      <c r="P35">
        <f>IFERROR(INDEX(Options!$F$2:$F$174,MATCH($C35&amp;"|Value",Options!$T$2:$T$174,0))/INDEX(Options!$R$2:$R$174,MATCH($C35&amp;"|Value",Options!$T$2:$T$174,0)),0)</f>
        <v/>
      </c>
      <c r="Q35">
        <f>IFERROR(INDEX(Options!$H$2:$H$174,MATCH($C35&amp;"|Value",Options!$T$2:$T$174,0))/INDEX(Options!$R$2:$R$174,MATCH($C35&amp;"|Value",Options!$T$2:$T$174,0)),0)</f>
        <v/>
      </c>
      <c r="R35">
        <f>IFERROR(INDEX(Options!$F$2:$F$174,MATCH($C35&amp;"|Premium",Options!$T$2:$T$174,0))/INDEX(Options!$R$2:$R$174,MATCH($C35&amp;"|Premium",Options!$T$2:$T$174,0)),0)</f>
        <v/>
      </c>
      <c r="S35">
        <f>IFERROR(INDEX(Options!$H$2:$H$174,MATCH($C35&amp;"|Premium",Options!$T$2:$T$174,0))/INDEX(Options!$R$2:$R$174,MATCH($C35&amp;"|Premium",Options!$T$2:$T$174,0)),0)</f>
        <v/>
      </c>
    </row>
    <row r="36">
      <c r="A36" s="10" t="inlineStr">
        <is>
          <t>Trail Creek Kit</t>
        </is>
      </c>
      <c r="B36" s="10" t="inlineStr">
        <is>
          <t>Gold pan</t>
        </is>
      </c>
      <c r="C36" s="10" t="inlineStr">
        <is>
          <t>gold_pan</t>
        </is>
      </c>
      <c r="D36" s="10" t="inlineStr">
        <is>
          <t>must</t>
        </is>
      </c>
      <c r="E36" s="10" t="inlineStr">
        <is>
          <t>Value</t>
        </is>
      </c>
      <c r="F36" s="10">
        <f>IFERROR(MATCH($C36&amp;"|"&amp;$E36,Options!$T$2:$T$174,0),"")</f>
        <v/>
      </c>
      <c r="G36" s="11">
        <f>IF(OR($E36="Skip",$E36=""),"(skipped)",IF($E36="Own","(own gear)",IFERROR(INDEX(Options!$D$2:$D$174,$F36)&amp;" -- "&amp;INDEX(Options!$E$2:$E$174,$F36),"?")))</f>
        <v/>
      </c>
      <c r="H36" s="12">
        <f>IF($E36="Own",N($J36),IF(OR($E36="Skip",$E36=""),0,IFERROR(INDEX(Options!$F$2:$F$174,$F36)/INDEX(Options!$R$2:$R$174,$F36),0)))</f>
        <v/>
      </c>
      <c r="I36" s="13">
        <f>IF($E36="Own",0,IF(OR($E36="Skip",$E36=""),0,IFERROR(INDEX(Options!$H$2:$H$174,$F36)/INDEX(Options!$R$2:$R$174,$F36),0)))</f>
        <v/>
      </c>
      <c r="J36" s="12" t="n"/>
      <c r="K36" s="10">
        <f>IF(OR($E36="Skip",$E36="Own",$E36=""),"",IFERROR(HYPERLINK(INDEX(Options!$I$2:$I$174,$F36),"buy link"),""))</f>
        <v/>
      </c>
      <c r="L36" s="11">
        <f>IF(OR($E36="Skip",$E36="Own",$E36=""),"",IFERROR(LEFT(INDEX(Options!$L$2:$L$174,$F36),140),""))</f>
        <v/>
      </c>
      <c r="M36" s="11">
        <f>IF(OR($E36="Skip",$E36="Own",$E36=""),"",IFERROR(INDEX(Options!$S$2:$S$174,$F36),""))</f>
        <v/>
      </c>
      <c r="N36">
        <f>IFERROR(INDEX(Options!$F$2:$F$174,MATCH($C36&amp;"|Budget",Options!$T$2:$T$174,0))/INDEX(Options!$R$2:$R$174,MATCH($C36&amp;"|Budget",Options!$T$2:$T$174,0)),0)</f>
        <v/>
      </c>
      <c r="O36">
        <f>IFERROR(INDEX(Options!$H$2:$H$174,MATCH($C36&amp;"|Budget",Options!$T$2:$T$174,0))/INDEX(Options!$R$2:$R$174,MATCH($C36&amp;"|Budget",Options!$T$2:$T$174,0)),0)</f>
        <v/>
      </c>
      <c r="P36">
        <f>IFERROR(INDEX(Options!$F$2:$F$174,MATCH($C36&amp;"|Value",Options!$T$2:$T$174,0))/INDEX(Options!$R$2:$R$174,MATCH($C36&amp;"|Value",Options!$T$2:$T$174,0)),0)</f>
        <v/>
      </c>
      <c r="Q36">
        <f>IFERROR(INDEX(Options!$H$2:$H$174,MATCH($C36&amp;"|Value",Options!$T$2:$T$174,0))/INDEX(Options!$R$2:$R$174,MATCH($C36&amp;"|Value",Options!$T$2:$T$174,0)),0)</f>
        <v/>
      </c>
      <c r="R36">
        <f>IFERROR(INDEX(Options!$F$2:$F$174,MATCH($C36&amp;"|Premium",Options!$T$2:$T$174,0))/INDEX(Options!$R$2:$R$174,MATCH($C36&amp;"|Premium",Options!$T$2:$T$174,0)),0)</f>
        <v/>
      </c>
      <c r="S36">
        <f>IFERROR(INDEX(Options!$H$2:$H$174,MATCH($C36&amp;"|Premium",Options!$T$2:$T$174,0))/INDEX(Options!$R$2:$R$174,MATCH($C36&amp;"|Premium",Options!$T$2:$T$174,0)),0)</f>
        <v/>
      </c>
    </row>
    <row r="37">
      <c r="A37" s="10" t="inlineStr">
        <is>
          <t>Trail Creek Kit</t>
        </is>
      </c>
      <c r="B37" s="10" t="inlineStr">
        <is>
          <t>Insulated waterproof panning gloves</t>
        </is>
      </c>
      <c r="C37" s="10" t="inlineStr">
        <is>
          <t>insulated_waterproof_gloves</t>
        </is>
      </c>
      <c r="D37" s="10" t="inlineStr">
        <is>
          <t>must</t>
        </is>
      </c>
      <c r="E37" s="10" t="inlineStr">
        <is>
          <t>Value</t>
        </is>
      </c>
      <c r="F37" s="10">
        <f>IFERROR(MATCH($C37&amp;"|"&amp;$E37,Options!$T$2:$T$174,0),"")</f>
        <v/>
      </c>
      <c r="G37" s="11">
        <f>IF(OR($E37="Skip",$E37=""),"(skipped)",IF($E37="Own","(own gear)",IFERROR(INDEX(Options!$D$2:$D$174,$F37)&amp;" -- "&amp;INDEX(Options!$E$2:$E$174,$F37),"?")))</f>
        <v/>
      </c>
      <c r="H37" s="12">
        <f>IF($E37="Own",N($J37),IF(OR($E37="Skip",$E37=""),0,IFERROR(INDEX(Options!$F$2:$F$174,$F37)/INDEX(Options!$R$2:$R$174,$F37),0)))</f>
        <v/>
      </c>
      <c r="I37" s="13">
        <f>IF($E37="Own",0,IF(OR($E37="Skip",$E37=""),0,IFERROR(INDEX(Options!$H$2:$H$174,$F37)/INDEX(Options!$R$2:$R$174,$F37),0)))</f>
        <v/>
      </c>
      <c r="J37" s="12" t="n"/>
      <c r="K37" s="10">
        <f>IF(OR($E37="Skip",$E37="Own",$E37=""),"",IFERROR(HYPERLINK(INDEX(Options!$I$2:$I$174,$F37),"buy link"),""))</f>
        <v/>
      </c>
      <c r="L37" s="11">
        <f>IF(OR($E37="Skip",$E37="Own",$E37=""),"",IFERROR(LEFT(INDEX(Options!$L$2:$L$174,$F37),140),""))</f>
        <v/>
      </c>
      <c r="M37" s="11">
        <f>IF(OR($E37="Skip",$E37="Own",$E37=""),"",IFERROR(INDEX(Options!$S$2:$S$174,$F37),""))</f>
        <v/>
      </c>
      <c r="N37">
        <f>IFERROR(INDEX(Options!$F$2:$F$174,MATCH($C37&amp;"|Budget",Options!$T$2:$T$174,0))/INDEX(Options!$R$2:$R$174,MATCH($C37&amp;"|Budget",Options!$T$2:$T$174,0)),0)</f>
        <v/>
      </c>
      <c r="O37">
        <f>IFERROR(INDEX(Options!$H$2:$H$174,MATCH($C37&amp;"|Budget",Options!$T$2:$T$174,0))/INDEX(Options!$R$2:$R$174,MATCH($C37&amp;"|Budget",Options!$T$2:$T$174,0)),0)</f>
        <v/>
      </c>
      <c r="P37">
        <f>IFERROR(INDEX(Options!$F$2:$F$174,MATCH($C37&amp;"|Value",Options!$T$2:$T$174,0))/INDEX(Options!$R$2:$R$174,MATCH($C37&amp;"|Value",Options!$T$2:$T$174,0)),0)</f>
        <v/>
      </c>
      <c r="Q37">
        <f>IFERROR(INDEX(Options!$H$2:$H$174,MATCH($C37&amp;"|Value",Options!$T$2:$T$174,0))/INDEX(Options!$R$2:$R$174,MATCH($C37&amp;"|Value",Options!$T$2:$T$174,0)),0)</f>
        <v/>
      </c>
      <c r="R37">
        <f>IFERROR(INDEX(Options!$F$2:$F$174,MATCH($C37&amp;"|Premium",Options!$T$2:$T$174,0))/INDEX(Options!$R$2:$R$174,MATCH($C37&amp;"|Premium",Options!$T$2:$T$174,0)),0)</f>
        <v/>
      </c>
      <c r="S37">
        <f>IFERROR(INDEX(Options!$H$2:$H$174,MATCH($C37&amp;"|Premium",Options!$T$2:$T$174,0))/INDEX(Options!$R$2:$R$174,MATCH($C37&amp;"|Premium",Options!$T$2:$T$174,0)),0)</f>
        <v/>
      </c>
    </row>
    <row r="38">
      <c r="A38" s="10" t="inlineStr">
        <is>
          <t>Trail Creek Kit</t>
        </is>
      </c>
      <c r="B38" s="10" t="inlineStr">
        <is>
          <t>Neoprene wading socks</t>
        </is>
      </c>
      <c r="C38" s="10" t="inlineStr">
        <is>
          <t>neoprene_socks_wading</t>
        </is>
      </c>
      <c r="D38" s="10" t="inlineStr">
        <is>
          <t>must</t>
        </is>
      </c>
      <c r="E38" s="10" t="inlineStr">
        <is>
          <t>Value</t>
        </is>
      </c>
      <c r="F38" s="10">
        <f>IFERROR(MATCH($C38&amp;"|"&amp;$E38,Options!$T$2:$T$174,0),"")</f>
        <v/>
      </c>
      <c r="G38" s="11">
        <f>IF(OR($E38="Skip",$E38=""),"(skipped)",IF($E38="Own","(own gear)",IFERROR(INDEX(Options!$D$2:$D$174,$F38)&amp;" -- "&amp;INDEX(Options!$E$2:$E$174,$F38),"?")))</f>
        <v/>
      </c>
      <c r="H38" s="12">
        <f>IF($E38="Own",N($J38),IF(OR($E38="Skip",$E38=""),0,IFERROR(INDEX(Options!$F$2:$F$174,$F38)/INDEX(Options!$R$2:$R$174,$F38),0)))</f>
        <v/>
      </c>
      <c r="I38" s="13">
        <f>IF($E38="Own",0,IF(OR($E38="Skip",$E38=""),0,IFERROR(INDEX(Options!$H$2:$H$174,$F38)/INDEX(Options!$R$2:$R$174,$F38),0)))</f>
        <v/>
      </c>
      <c r="J38" s="12" t="n"/>
      <c r="K38" s="10">
        <f>IF(OR($E38="Skip",$E38="Own",$E38=""),"",IFERROR(HYPERLINK(INDEX(Options!$I$2:$I$174,$F38),"buy link"),""))</f>
        <v/>
      </c>
      <c r="L38" s="11">
        <f>IF(OR($E38="Skip",$E38="Own",$E38=""),"",IFERROR(LEFT(INDEX(Options!$L$2:$L$174,$F38),140),""))</f>
        <v/>
      </c>
      <c r="M38" s="11">
        <f>IF(OR($E38="Skip",$E38="Own",$E38=""),"",IFERROR(INDEX(Options!$S$2:$S$174,$F38),""))</f>
        <v/>
      </c>
      <c r="N38">
        <f>IFERROR(INDEX(Options!$F$2:$F$174,MATCH($C38&amp;"|Budget",Options!$T$2:$T$174,0))/INDEX(Options!$R$2:$R$174,MATCH($C38&amp;"|Budget",Options!$T$2:$T$174,0)),0)</f>
        <v/>
      </c>
      <c r="O38">
        <f>IFERROR(INDEX(Options!$H$2:$H$174,MATCH($C38&amp;"|Budget",Options!$T$2:$T$174,0))/INDEX(Options!$R$2:$R$174,MATCH($C38&amp;"|Budget",Options!$T$2:$T$174,0)),0)</f>
        <v/>
      </c>
      <c r="P38">
        <f>IFERROR(INDEX(Options!$F$2:$F$174,MATCH($C38&amp;"|Value",Options!$T$2:$T$174,0))/INDEX(Options!$R$2:$R$174,MATCH($C38&amp;"|Value",Options!$T$2:$T$174,0)),0)</f>
        <v/>
      </c>
      <c r="Q38">
        <f>IFERROR(INDEX(Options!$H$2:$H$174,MATCH($C38&amp;"|Value",Options!$T$2:$T$174,0))/INDEX(Options!$R$2:$R$174,MATCH($C38&amp;"|Value",Options!$T$2:$T$174,0)),0)</f>
        <v/>
      </c>
      <c r="R38">
        <f>IFERROR(INDEX(Options!$F$2:$F$174,MATCH($C38&amp;"|Premium",Options!$T$2:$T$174,0))/INDEX(Options!$R$2:$R$174,MATCH($C38&amp;"|Premium",Options!$T$2:$T$174,0)),0)</f>
        <v/>
      </c>
      <c r="S38">
        <f>IFERROR(INDEX(Options!$H$2:$H$174,MATCH($C38&amp;"|Premium",Options!$T$2:$T$174,0))/INDEX(Options!$R$2:$R$174,MATCH($C38&amp;"|Premium",Options!$T$2:$T$174,0)),0)</f>
        <v/>
      </c>
    </row>
    <row r="39">
      <c r="A39" s="10" t="inlineStr">
        <is>
          <t>Trail Creek Kit</t>
        </is>
      </c>
      <c r="B39" s="10" t="inlineStr">
        <is>
          <t>Snuffer bottle</t>
        </is>
      </c>
      <c r="C39" s="10" t="inlineStr">
        <is>
          <t>snuffer_bottle</t>
        </is>
      </c>
      <c r="D39" s="10" t="inlineStr">
        <is>
          <t>must</t>
        </is>
      </c>
      <c r="E39" s="10" t="inlineStr">
        <is>
          <t>Value</t>
        </is>
      </c>
      <c r="F39" s="10">
        <f>IFERROR(MATCH($C39&amp;"|"&amp;$E39,Options!$T$2:$T$174,0),"")</f>
        <v/>
      </c>
      <c r="G39" s="11">
        <f>IF(OR($E39="Skip",$E39=""),"(skipped)",IF($E39="Own","(own gear)",IFERROR(INDEX(Options!$D$2:$D$174,$F39)&amp;" -- "&amp;INDEX(Options!$E$2:$E$174,$F39),"?")))</f>
        <v/>
      </c>
      <c r="H39" s="12">
        <f>IF($E39="Own",N($J39),IF(OR($E39="Skip",$E39=""),0,IFERROR(INDEX(Options!$F$2:$F$174,$F39)/INDEX(Options!$R$2:$R$174,$F39),0)))</f>
        <v/>
      </c>
      <c r="I39" s="13">
        <f>IF($E39="Own",0,IF(OR($E39="Skip",$E39=""),0,IFERROR(INDEX(Options!$H$2:$H$174,$F39)/INDEX(Options!$R$2:$R$174,$F39),0)))</f>
        <v/>
      </c>
      <c r="J39" s="12" t="n"/>
      <c r="K39" s="10">
        <f>IF(OR($E39="Skip",$E39="Own",$E39=""),"",IFERROR(HYPERLINK(INDEX(Options!$I$2:$I$174,$F39),"buy link"),""))</f>
        <v/>
      </c>
      <c r="L39" s="11">
        <f>IF(OR($E39="Skip",$E39="Own",$E39=""),"",IFERROR(LEFT(INDEX(Options!$L$2:$L$174,$F39),140),""))</f>
        <v/>
      </c>
      <c r="M39" s="11">
        <f>IF(OR($E39="Skip",$E39="Own",$E39=""),"",IFERROR(INDEX(Options!$S$2:$S$174,$F39),""))</f>
        <v/>
      </c>
      <c r="N39">
        <f>IFERROR(INDEX(Options!$F$2:$F$174,MATCH($C39&amp;"|Budget",Options!$T$2:$T$174,0))/INDEX(Options!$R$2:$R$174,MATCH($C39&amp;"|Budget",Options!$T$2:$T$174,0)),0)</f>
        <v/>
      </c>
      <c r="O39">
        <f>IFERROR(INDEX(Options!$H$2:$H$174,MATCH($C39&amp;"|Budget",Options!$T$2:$T$174,0))/INDEX(Options!$R$2:$R$174,MATCH($C39&amp;"|Budget",Options!$T$2:$T$174,0)),0)</f>
        <v/>
      </c>
      <c r="P39">
        <f>IFERROR(INDEX(Options!$F$2:$F$174,MATCH($C39&amp;"|Value",Options!$T$2:$T$174,0))/INDEX(Options!$R$2:$R$174,MATCH($C39&amp;"|Value",Options!$T$2:$T$174,0)),0)</f>
        <v/>
      </c>
      <c r="Q39">
        <f>IFERROR(INDEX(Options!$H$2:$H$174,MATCH($C39&amp;"|Value",Options!$T$2:$T$174,0))/INDEX(Options!$R$2:$R$174,MATCH($C39&amp;"|Value",Options!$T$2:$T$174,0)),0)</f>
        <v/>
      </c>
      <c r="R39">
        <f>IFERROR(INDEX(Options!$F$2:$F$174,MATCH($C39&amp;"|Premium",Options!$T$2:$T$174,0))/INDEX(Options!$R$2:$R$174,MATCH($C39&amp;"|Premium",Options!$T$2:$T$174,0)),0)</f>
        <v/>
      </c>
      <c r="S39">
        <f>IFERROR(INDEX(Options!$H$2:$H$174,MATCH($C39&amp;"|Premium",Options!$T$2:$T$174,0))/INDEX(Options!$R$2:$R$174,MATCH($C39&amp;"|Premium",Options!$T$2:$T$174,0)),0)</f>
        <v/>
      </c>
    </row>
    <row r="40">
      <c r="A40" s="10" t="inlineStr">
        <is>
          <t>Trail Creek Kit</t>
        </is>
      </c>
      <c r="B40" s="10" t="inlineStr">
        <is>
          <t>Gold vials</t>
        </is>
      </c>
      <c r="C40" s="10" t="inlineStr">
        <is>
          <t>vials</t>
        </is>
      </c>
      <c r="D40" s="10" t="inlineStr">
        <is>
          <t>must</t>
        </is>
      </c>
      <c r="E40" s="10" t="inlineStr">
        <is>
          <t>Value</t>
        </is>
      </c>
      <c r="F40" s="10">
        <f>IFERROR(MATCH($C40&amp;"|"&amp;$E40,Options!$T$2:$T$174,0),"")</f>
        <v/>
      </c>
      <c r="G40" s="11">
        <f>IF(OR($E40="Skip",$E40=""),"(skipped)",IF($E40="Own","(own gear)",IFERROR(INDEX(Options!$D$2:$D$174,$F40)&amp;" -- "&amp;INDEX(Options!$E$2:$E$174,$F40),"?")))</f>
        <v/>
      </c>
      <c r="H40" s="12">
        <f>IF($E40="Own",N($J40),IF(OR($E40="Skip",$E40=""),0,IFERROR(INDEX(Options!$F$2:$F$174,$F40)/INDEX(Options!$R$2:$R$174,$F40),0)))</f>
        <v/>
      </c>
      <c r="I40" s="13">
        <f>IF($E40="Own",0,IF(OR($E40="Skip",$E40=""),0,IFERROR(INDEX(Options!$H$2:$H$174,$F40)/INDEX(Options!$R$2:$R$174,$F40),0)))</f>
        <v/>
      </c>
      <c r="J40" s="12" t="n"/>
      <c r="K40" s="10">
        <f>IF(OR($E40="Skip",$E40="Own",$E40=""),"",IFERROR(HYPERLINK(INDEX(Options!$I$2:$I$174,$F40),"buy link"),""))</f>
        <v/>
      </c>
      <c r="L40" s="11">
        <f>IF(OR($E40="Skip",$E40="Own",$E40=""),"",IFERROR(LEFT(INDEX(Options!$L$2:$L$174,$F40),140),""))</f>
        <v/>
      </c>
      <c r="M40" s="11">
        <f>IF(OR($E40="Skip",$E40="Own",$E40=""),"",IFERROR(INDEX(Options!$S$2:$S$174,$F40),""))</f>
        <v/>
      </c>
      <c r="N40">
        <f>IFERROR(INDEX(Options!$F$2:$F$174,MATCH($C40&amp;"|Budget",Options!$T$2:$T$174,0))/INDEX(Options!$R$2:$R$174,MATCH($C40&amp;"|Budget",Options!$T$2:$T$174,0)),0)</f>
        <v/>
      </c>
      <c r="O40">
        <f>IFERROR(INDEX(Options!$H$2:$H$174,MATCH($C40&amp;"|Budget",Options!$T$2:$T$174,0))/INDEX(Options!$R$2:$R$174,MATCH($C40&amp;"|Budget",Options!$T$2:$T$174,0)),0)</f>
        <v/>
      </c>
      <c r="P40">
        <f>IFERROR(INDEX(Options!$F$2:$F$174,MATCH($C40&amp;"|Value",Options!$T$2:$T$174,0))/INDEX(Options!$R$2:$R$174,MATCH($C40&amp;"|Value",Options!$T$2:$T$174,0)),0)</f>
        <v/>
      </c>
      <c r="Q40">
        <f>IFERROR(INDEX(Options!$H$2:$H$174,MATCH($C40&amp;"|Value",Options!$T$2:$T$174,0))/INDEX(Options!$R$2:$R$174,MATCH($C40&amp;"|Value",Options!$T$2:$T$174,0)),0)</f>
        <v/>
      </c>
      <c r="R40">
        <f>IFERROR(INDEX(Options!$F$2:$F$174,MATCH($C40&amp;"|Premium",Options!$T$2:$T$174,0))/INDEX(Options!$R$2:$R$174,MATCH($C40&amp;"|Premium",Options!$T$2:$T$174,0)),0)</f>
        <v/>
      </c>
      <c r="S40">
        <f>IFERROR(INDEX(Options!$H$2:$H$174,MATCH($C40&amp;"|Premium",Options!$T$2:$T$174,0))/INDEX(Options!$R$2:$R$174,MATCH($C40&amp;"|Premium",Options!$T$2:$T$174,0)),0)</f>
        <v/>
      </c>
    </row>
    <row r="41">
      <c r="A41" s="10" t="inlineStr">
        <is>
          <t>Trail Creek Kit</t>
        </is>
      </c>
      <c r="B41" s="10" t="inlineStr">
        <is>
          <t>Crevice tools</t>
        </is>
      </c>
      <c r="C41" s="10" t="inlineStr">
        <is>
          <t>crevice_tools</t>
        </is>
      </c>
      <c r="D41" s="10" t="inlineStr">
        <is>
          <t>nice</t>
        </is>
      </c>
      <c r="E41" s="10" t="inlineStr">
        <is>
          <t>Value</t>
        </is>
      </c>
      <c r="F41" s="10">
        <f>IFERROR(MATCH($C41&amp;"|"&amp;$E41,Options!$T$2:$T$174,0),"")</f>
        <v/>
      </c>
      <c r="G41" s="11">
        <f>IF(OR($E41="Skip",$E41=""),"(skipped)",IF($E41="Own","(own gear)",IFERROR(INDEX(Options!$D$2:$D$174,$F41)&amp;" -- "&amp;INDEX(Options!$E$2:$E$174,$F41),"?")))</f>
        <v/>
      </c>
      <c r="H41" s="12">
        <f>IF($E41="Own",N($J41),IF(OR($E41="Skip",$E41=""),0,IFERROR(INDEX(Options!$F$2:$F$174,$F41)/INDEX(Options!$R$2:$R$174,$F41),0)))</f>
        <v/>
      </c>
      <c r="I41" s="13">
        <f>IF($E41="Own",0,IF(OR($E41="Skip",$E41=""),0,IFERROR(INDEX(Options!$H$2:$H$174,$F41)/INDEX(Options!$R$2:$R$174,$F41),0)))</f>
        <v/>
      </c>
      <c r="J41" s="12" t="n"/>
      <c r="K41" s="10">
        <f>IF(OR($E41="Skip",$E41="Own",$E41=""),"",IFERROR(HYPERLINK(INDEX(Options!$I$2:$I$174,$F41),"buy link"),""))</f>
        <v/>
      </c>
      <c r="L41" s="11">
        <f>IF(OR($E41="Skip",$E41="Own",$E41=""),"",IFERROR(LEFT(INDEX(Options!$L$2:$L$174,$F41),140),""))</f>
        <v/>
      </c>
      <c r="M41" s="11">
        <f>IF(OR($E41="Skip",$E41="Own",$E41=""),"",IFERROR(INDEX(Options!$S$2:$S$174,$F41),""))</f>
        <v/>
      </c>
      <c r="N41">
        <f>IFERROR(INDEX(Options!$F$2:$F$174,MATCH($C41&amp;"|Budget",Options!$T$2:$T$174,0))/INDEX(Options!$R$2:$R$174,MATCH($C41&amp;"|Budget",Options!$T$2:$T$174,0)),0)</f>
        <v/>
      </c>
      <c r="O41">
        <f>IFERROR(INDEX(Options!$H$2:$H$174,MATCH($C41&amp;"|Budget",Options!$T$2:$T$174,0))/INDEX(Options!$R$2:$R$174,MATCH($C41&amp;"|Budget",Options!$T$2:$T$174,0)),0)</f>
        <v/>
      </c>
      <c r="P41">
        <f>IFERROR(INDEX(Options!$F$2:$F$174,MATCH($C41&amp;"|Value",Options!$T$2:$T$174,0))/INDEX(Options!$R$2:$R$174,MATCH($C41&amp;"|Value",Options!$T$2:$T$174,0)),0)</f>
        <v/>
      </c>
      <c r="Q41">
        <f>IFERROR(INDEX(Options!$H$2:$H$174,MATCH($C41&amp;"|Value",Options!$T$2:$T$174,0))/INDEX(Options!$R$2:$R$174,MATCH($C41&amp;"|Value",Options!$T$2:$T$174,0)),0)</f>
        <v/>
      </c>
      <c r="R41">
        <f>IFERROR(INDEX(Options!$F$2:$F$174,MATCH($C41&amp;"|Premium",Options!$T$2:$T$174,0))/INDEX(Options!$R$2:$R$174,MATCH($C41&amp;"|Premium",Options!$T$2:$T$174,0)),0)</f>
        <v/>
      </c>
      <c r="S41">
        <f>IFERROR(INDEX(Options!$H$2:$H$174,MATCH($C41&amp;"|Premium",Options!$T$2:$T$174,0))/INDEX(Options!$R$2:$R$174,MATCH($C41&amp;"|Premium",Options!$T$2:$T$174,0)),0)</f>
        <v/>
      </c>
    </row>
    <row r="42">
      <c r="A42" s="10" t="inlineStr">
        <is>
          <t>Trail Creek Kit</t>
        </is>
      </c>
      <c r="B42" s="10" t="inlineStr">
        <is>
          <t>Magnifier / loupe</t>
        </is>
      </c>
      <c r="C42" s="10" t="inlineStr">
        <is>
          <t>magnifier_loupe</t>
        </is>
      </c>
      <c r="D42" s="10" t="inlineStr">
        <is>
          <t>nice</t>
        </is>
      </c>
      <c r="E42" s="10" t="inlineStr">
        <is>
          <t>Value</t>
        </is>
      </c>
      <c r="F42" s="10">
        <f>IFERROR(MATCH($C42&amp;"|"&amp;$E42,Options!$T$2:$T$174,0),"")</f>
        <v/>
      </c>
      <c r="G42" s="11">
        <f>IF(OR($E42="Skip",$E42=""),"(skipped)",IF($E42="Own","(own gear)",IFERROR(INDEX(Options!$D$2:$D$174,$F42)&amp;" -- "&amp;INDEX(Options!$E$2:$E$174,$F42),"?")))</f>
        <v/>
      </c>
      <c r="H42" s="12">
        <f>IF($E42="Own",N($J42),IF(OR($E42="Skip",$E42=""),0,IFERROR(INDEX(Options!$F$2:$F$174,$F42)/INDEX(Options!$R$2:$R$174,$F42),0)))</f>
        <v/>
      </c>
      <c r="I42" s="13">
        <f>IF($E42="Own",0,IF(OR($E42="Skip",$E42=""),0,IFERROR(INDEX(Options!$H$2:$H$174,$F42)/INDEX(Options!$R$2:$R$174,$F42),0)))</f>
        <v/>
      </c>
      <c r="J42" s="12" t="n"/>
      <c r="K42" s="10">
        <f>IF(OR($E42="Skip",$E42="Own",$E42=""),"",IFERROR(HYPERLINK(INDEX(Options!$I$2:$I$174,$F42),"buy link"),""))</f>
        <v/>
      </c>
      <c r="L42" s="11">
        <f>IF(OR($E42="Skip",$E42="Own",$E42=""),"",IFERROR(LEFT(INDEX(Options!$L$2:$L$174,$F42),140),""))</f>
        <v/>
      </c>
      <c r="M42" s="11">
        <f>IF(OR($E42="Skip",$E42="Own",$E42=""),"",IFERROR(INDEX(Options!$S$2:$S$174,$F42),""))</f>
        <v/>
      </c>
      <c r="N42">
        <f>IFERROR(INDEX(Options!$F$2:$F$174,MATCH($C42&amp;"|Budget",Options!$T$2:$T$174,0))/INDEX(Options!$R$2:$R$174,MATCH($C42&amp;"|Budget",Options!$T$2:$T$174,0)),0)</f>
        <v/>
      </c>
      <c r="O42">
        <f>IFERROR(INDEX(Options!$H$2:$H$174,MATCH($C42&amp;"|Budget",Options!$T$2:$T$174,0))/INDEX(Options!$R$2:$R$174,MATCH($C42&amp;"|Budget",Options!$T$2:$T$174,0)),0)</f>
        <v/>
      </c>
      <c r="P42">
        <f>IFERROR(INDEX(Options!$F$2:$F$174,MATCH($C42&amp;"|Value",Options!$T$2:$T$174,0))/INDEX(Options!$R$2:$R$174,MATCH($C42&amp;"|Value",Options!$T$2:$T$174,0)),0)</f>
        <v/>
      </c>
      <c r="Q42">
        <f>IFERROR(INDEX(Options!$H$2:$H$174,MATCH($C42&amp;"|Value",Options!$T$2:$T$174,0))/INDEX(Options!$R$2:$R$174,MATCH($C42&amp;"|Value",Options!$T$2:$T$174,0)),0)</f>
        <v/>
      </c>
      <c r="R42">
        <f>IFERROR(INDEX(Options!$F$2:$F$174,MATCH($C42&amp;"|Premium",Options!$T$2:$T$174,0))/INDEX(Options!$R$2:$R$174,MATCH($C42&amp;"|Premium",Options!$T$2:$T$174,0)),0)</f>
        <v/>
      </c>
      <c r="S42">
        <f>IFERROR(INDEX(Options!$H$2:$H$174,MATCH($C42&amp;"|Premium",Options!$T$2:$T$174,0))/INDEX(Options!$R$2:$R$174,MATCH($C42&amp;"|Premium",Options!$T$2:$T$174,0)),0)</f>
        <v/>
      </c>
    </row>
    <row r="43">
      <c r="A43" s="10" t="inlineStr">
        <is>
          <t>Trail Creek Kit</t>
        </is>
      </c>
      <c r="B43" s="10" t="inlineStr">
        <is>
          <t>Small trowel (CNF-legal: hand pan + trowel only)</t>
        </is>
      </c>
      <c r="C43" s="10" t="inlineStr">
        <is>
          <t>small_trowel</t>
        </is>
      </c>
      <c r="D43" s="10" t="inlineStr">
        <is>
          <t>must</t>
        </is>
      </c>
      <c r="E43" s="10" t="inlineStr">
        <is>
          <t>Value</t>
        </is>
      </c>
      <c r="F43" s="10">
        <f>IFERROR(MATCH($C43&amp;"|"&amp;$E43,Options!$T$2:$T$174,0),"")</f>
        <v/>
      </c>
      <c r="G43" s="11">
        <f>IF(OR($E43="Skip",$E43=""),"(skipped)",IF($E43="Own","(own gear)",IFERROR(INDEX(Options!$D$2:$D$174,$F43)&amp;" -- "&amp;INDEX(Options!$E$2:$E$174,$F43),"?")))</f>
        <v/>
      </c>
      <c r="H43" s="12">
        <f>IF($E43="Own",N($J43),IF(OR($E43="Skip",$E43=""),0,IFERROR(INDEX(Options!$F$2:$F$174,$F43)/INDEX(Options!$R$2:$R$174,$F43),0)))</f>
        <v/>
      </c>
      <c r="I43" s="13">
        <f>IF($E43="Own",0,IF(OR($E43="Skip",$E43=""),0,IFERROR(INDEX(Options!$H$2:$H$174,$F43)/INDEX(Options!$R$2:$R$174,$F43),0)))</f>
        <v/>
      </c>
      <c r="J43" s="12" t="n"/>
      <c r="K43" s="10">
        <f>IF(OR($E43="Skip",$E43="Own",$E43=""),"",IFERROR(HYPERLINK(INDEX(Options!$I$2:$I$174,$F43),"buy link"),""))</f>
        <v/>
      </c>
      <c r="L43" s="11">
        <f>IF(OR($E43="Skip",$E43="Own",$E43=""),"",IFERROR(LEFT(INDEX(Options!$L$2:$L$174,$F43),140),""))</f>
        <v/>
      </c>
      <c r="M43" s="11">
        <f>IF(OR($E43="Skip",$E43="Own",$E43=""),"",IFERROR(INDEX(Options!$S$2:$S$174,$F43),""))</f>
        <v/>
      </c>
      <c r="N43">
        <f>IFERROR(INDEX(Options!$F$2:$F$174,MATCH($C43&amp;"|Budget",Options!$T$2:$T$174,0))/INDEX(Options!$R$2:$R$174,MATCH($C43&amp;"|Budget",Options!$T$2:$T$174,0)),0)</f>
        <v/>
      </c>
      <c r="O43">
        <f>IFERROR(INDEX(Options!$H$2:$H$174,MATCH($C43&amp;"|Budget",Options!$T$2:$T$174,0))/INDEX(Options!$R$2:$R$174,MATCH($C43&amp;"|Budget",Options!$T$2:$T$174,0)),0)</f>
        <v/>
      </c>
      <c r="P43">
        <f>IFERROR(INDEX(Options!$F$2:$F$174,MATCH($C43&amp;"|Value",Options!$T$2:$T$174,0))/INDEX(Options!$R$2:$R$174,MATCH($C43&amp;"|Value",Options!$T$2:$T$174,0)),0)</f>
        <v/>
      </c>
      <c r="Q43">
        <f>IFERROR(INDEX(Options!$H$2:$H$174,MATCH($C43&amp;"|Value",Options!$T$2:$T$174,0))/INDEX(Options!$R$2:$R$174,MATCH($C43&amp;"|Value",Options!$T$2:$T$174,0)),0)</f>
        <v/>
      </c>
      <c r="R43">
        <f>IFERROR(INDEX(Options!$F$2:$F$174,MATCH($C43&amp;"|Premium",Options!$T$2:$T$174,0))/INDEX(Options!$R$2:$R$174,MATCH($C43&amp;"|Premium",Options!$T$2:$T$174,0)),0)</f>
        <v/>
      </c>
      <c r="S43">
        <f>IFERROR(INDEX(Options!$H$2:$H$174,MATCH($C43&amp;"|Premium",Options!$T$2:$T$174,0))/INDEX(Options!$R$2:$R$174,MATCH($C43&amp;"|Premium",Options!$T$2:$T$174,0)),0)</f>
        <v/>
      </c>
    </row>
    <row r="44">
      <c r="A44" s="10" t="inlineStr">
        <is>
          <t>Base Camp Personal</t>
        </is>
      </c>
      <c r="B44" s="10" t="inlineStr">
        <is>
          <t>Classifier (base camp; share one on the trail)</t>
        </is>
      </c>
      <c r="C44" s="10" t="inlineStr">
        <is>
          <t>classifier</t>
        </is>
      </c>
      <c r="D44" s="10" t="inlineStr">
        <is>
          <t>must</t>
        </is>
      </c>
      <c r="E44" s="10" t="inlineStr">
        <is>
          <t>Value</t>
        </is>
      </c>
      <c r="F44" s="10">
        <f>IFERROR(MATCH($C44&amp;"|"&amp;$E44,Options!$T$2:$T$174,0),"")</f>
        <v/>
      </c>
      <c r="G44" s="11">
        <f>IF(OR($E44="Skip",$E44=""),"(skipped)",IF($E44="Own","(own gear)",IFERROR(INDEX(Options!$D$2:$D$174,$F44)&amp;" -- "&amp;INDEX(Options!$E$2:$E$174,$F44),"?")))</f>
        <v/>
      </c>
      <c r="H44" s="12">
        <f>IF($E44="Own",N($J44),IF(OR($E44="Skip",$E44=""),0,IFERROR(INDEX(Options!$F$2:$F$174,$F44)/INDEX(Options!$R$2:$R$174,$F44),0)))</f>
        <v/>
      </c>
      <c r="I44" s="13">
        <f>IF($E44="Own",0,IF(OR($E44="Skip",$E44=""),0,IFERROR(INDEX(Options!$H$2:$H$174,$F44)/INDEX(Options!$R$2:$R$174,$F44),0)))</f>
        <v/>
      </c>
      <c r="J44" s="12" t="n"/>
      <c r="K44" s="10">
        <f>IF(OR($E44="Skip",$E44="Own",$E44=""),"",IFERROR(HYPERLINK(INDEX(Options!$I$2:$I$174,$F44),"buy link"),""))</f>
        <v/>
      </c>
      <c r="L44" s="11">
        <f>IF(OR($E44="Skip",$E44="Own",$E44=""),"",IFERROR(LEFT(INDEX(Options!$L$2:$L$174,$F44),140),""))</f>
        <v/>
      </c>
      <c r="M44" s="11">
        <f>IF(OR($E44="Skip",$E44="Own",$E44=""),"",IFERROR(INDEX(Options!$S$2:$S$174,$F44),""))</f>
        <v/>
      </c>
      <c r="N44">
        <f>IFERROR(INDEX(Options!$F$2:$F$174,MATCH($C44&amp;"|Budget",Options!$T$2:$T$174,0))/INDEX(Options!$R$2:$R$174,MATCH($C44&amp;"|Budget",Options!$T$2:$T$174,0)),0)</f>
        <v/>
      </c>
      <c r="O44">
        <f>IFERROR(INDEX(Options!$H$2:$H$174,MATCH($C44&amp;"|Budget",Options!$T$2:$T$174,0))/INDEX(Options!$R$2:$R$174,MATCH($C44&amp;"|Budget",Options!$T$2:$T$174,0)),0)</f>
        <v/>
      </c>
      <c r="P44">
        <f>IFERROR(INDEX(Options!$F$2:$F$174,MATCH($C44&amp;"|Value",Options!$T$2:$T$174,0))/INDEX(Options!$R$2:$R$174,MATCH($C44&amp;"|Value",Options!$T$2:$T$174,0)),0)</f>
        <v/>
      </c>
      <c r="Q44">
        <f>IFERROR(INDEX(Options!$H$2:$H$174,MATCH($C44&amp;"|Value",Options!$T$2:$T$174,0))/INDEX(Options!$R$2:$R$174,MATCH($C44&amp;"|Value",Options!$T$2:$T$174,0)),0)</f>
        <v/>
      </c>
      <c r="R44">
        <f>IFERROR(INDEX(Options!$F$2:$F$174,MATCH($C44&amp;"|Premium",Options!$T$2:$T$174,0))/INDEX(Options!$R$2:$R$174,MATCH($C44&amp;"|Premium",Options!$T$2:$T$174,0)),0)</f>
        <v/>
      </c>
      <c r="S44">
        <f>IFERROR(INDEX(Options!$H$2:$H$174,MATCH($C44&amp;"|Premium",Options!$T$2:$T$174,0))/INDEX(Options!$R$2:$R$174,MATCH($C44&amp;"|Premium",Options!$T$2:$T$174,0)),0)</f>
        <v/>
      </c>
    </row>
    <row r="45">
      <c r="A45" s="10" t="inlineStr">
        <is>
          <t>Base Camp Personal</t>
        </is>
      </c>
      <c r="B45" s="10" t="inlineStr">
        <is>
          <t>Knee pad</t>
        </is>
      </c>
      <c r="C45" s="10" t="inlineStr">
        <is>
          <t>knee_pads</t>
        </is>
      </c>
      <c r="D45" s="10" t="inlineStr">
        <is>
          <t>nice</t>
        </is>
      </c>
      <c r="E45" s="10" t="inlineStr">
        <is>
          <t>Budget</t>
        </is>
      </c>
      <c r="F45" s="10">
        <f>IFERROR(MATCH($C45&amp;"|"&amp;$E45,Options!$T$2:$T$174,0),"")</f>
        <v/>
      </c>
      <c r="G45" s="11">
        <f>IF(OR($E45="Skip",$E45=""),"(skipped)",IF($E45="Own","(own gear)",IFERROR(INDEX(Options!$D$2:$D$174,$F45)&amp;" -- "&amp;INDEX(Options!$E$2:$E$174,$F45),"?")))</f>
        <v/>
      </c>
      <c r="H45" s="12">
        <f>IF($E45="Own",N($J45),IF(OR($E45="Skip",$E45=""),0,IFERROR(INDEX(Options!$F$2:$F$174,$F45)/INDEX(Options!$R$2:$R$174,$F45),0)))</f>
        <v/>
      </c>
      <c r="I45" s="13">
        <f>IF($E45="Own",0,IF(OR($E45="Skip",$E45=""),0,IFERROR(INDEX(Options!$H$2:$H$174,$F45)/INDEX(Options!$R$2:$R$174,$F45),0)))</f>
        <v/>
      </c>
      <c r="J45" s="12" t="n"/>
      <c r="K45" s="10">
        <f>IF(OR($E45="Skip",$E45="Own",$E45=""),"",IFERROR(HYPERLINK(INDEX(Options!$I$2:$I$174,$F45),"buy link"),""))</f>
        <v/>
      </c>
      <c r="L45" s="11">
        <f>IF(OR($E45="Skip",$E45="Own",$E45=""),"",IFERROR(LEFT(INDEX(Options!$L$2:$L$174,$F45),140),""))</f>
        <v/>
      </c>
      <c r="M45" s="11">
        <f>IF(OR($E45="Skip",$E45="Own",$E45=""),"",IFERROR(INDEX(Options!$S$2:$S$174,$F45),""))</f>
        <v/>
      </c>
      <c r="N45">
        <f>IFERROR(INDEX(Options!$F$2:$F$174,MATCH($C45&amp;"|Budget",Options!$T$2:$T$174,0))/INDEX(Options!$R$2:$R$174,MATCH($C45&amp;"|Budget",Options!$T$2:$T$174,0)),0)</f>
        <v/>
      </c>
      <c r="O45">
        <f>IFERROR(INDEX(Options!$H$2:$H$174,MATCH($C45&amp;"|Budget",Options!$T$2:$T$174,0))/INDEX(Options!$R$2:$R$174,MATCH($C45&amp;"|Budget",Options!$T$2:$T$174,0)),0)</f>
        <v/>
      </c>
      <c r="P45">
        <f>IFERROR(INDEX(Options!$F$2:$F$174,MATCH($C45&amp;"|Value",Options!$T$2:$T$174,0))/INDEX(Options!$R$2:$R$174,MATCH($C45&amp;"|Value",Options!$T$2:$T$174,0)),0)</f>
        <v/>
      </c>
      <c r="Q45">
        <f>IFERROR(INDEX(Options!$H$2:$H$174,MATCH($C45&amp;"|Value",Options!$T$2:$T$174,0))/INDEX(Options!$R$2:$R$174,MATCH($C45&amp;"|Value",Options!$T$2:$T$174,0)),0)</f>
        <v/>
      </c>
      <c r="R45">
        <f>IFERROR(INDEX(Options!$F$2:$F$174,MATCH($C45&amp;"|Premium",Options!$T$2:$T$174,0))/INDEX(Options!$R$2:$R$174,MATCH($C45&amp;"|Premium",Options!$T$2:$T$174,0)),0)</f>
        <v/>
      </c>
      <c r="S45">
        <f>IFERROR(INDEX(Options!$H$2:$H$174,MATCH($C45&amp;"|Premium",Options!$T$2:$T$174,0))/INDEX(Options!$R$2:$R$174,MATCH($C45&amp;"|Premium",Options!$T$2:$T$174,0)),0)</f>
        <v/>
      </c>
    </row>
    <row r="46">
      <c r="A46" s="10" t="inlineStr">
        <is>
          <t>Base Camp Personal</t>
        </is>
      </c>
      <c r="B46" s="10" t="inlineStr">
        <is>
          <t>Waders (Jordan wants them; plan only needs shin-deep, but his call)</t>
        </is>
      </c>
      <c r="C46" s="10" t="inlineStr">
        <is>
          <t>waders_vs_none</t>
        </is>
      </c>
      <c r="D46" s="10" t="inlineStr">
        <is>
          <t>nice</t>
        </is>
      </c>
      <c r="E46" s="10" t="inlineStr">
        <is>
          <t>Value</t>
        </is>
      </c>
      <c r="F46" s="10">
        <f>IFERROR(MATCH($C46&amp;"|"&amp;$E46,Options!$T$2:$T$174,0),"")</f>
        <v/>
      </c>
      <c r="G46" s="11">
        <f>IF(OR($E46="Skip",$E46=""),"(skipped)",IF($E46="Own","(own gear)",IFERROR(INDEX(Options!$D$2:$D$174,$F46)&amp;" -- "&amp;INDEX(Options!$E$2:$E$174,$F46),"?")))</f>
        <v/>
      </c>
      <c r="H46" s="12">
        <f>IF($E46="Own",N($J46),IF(OR($E46="Skip",$E46=""),0,IFERROR(INDEX(Options!$F$2:$F$174,$F46)/INDEX(Options!$R$2:$R$174,$F46),0)))</f>
        <v/>
      </c>
      <c r="I46" s="13">
        <f>IF($E46="Own",0,IF(OR($E46="Skip",$E46=""),0,IFERROR(INDEX(Options!$H$2:$H$174,$F46)/INDEX(Options!$R$2:$R$174,$F46),0)))</f>
        <v/>
      </c>
      <c r="J46" s="12" t="n"/>
      <c r="K46" s="10">
        <f>IF(OR($E46="Skip",$E46="Own",$E46=""),"",IFERROR(HYPERLINK(INDEX(Options!$I$2:$I$174,$F46),"buy link"),""))</f>
        <v/>
      </c>
      <c r="L46" s="11">
        <f>IF(OR($E46="Skip",$E46="Own",$E46=""),"",IFERROR(LEFT(INDEX(Options!$L$2:$L$174,$F46),140),""))</f>
        <v/>
      </c>
      <c r="M46" s="11">
        <f>IF(OR($E46="Skip",$E46="Own",$E46=""),"",IFERROR(INDEX(Options!$S$2:$S$174,$F46),""))</f>
        <v/>
      </c>
      <c r="N46">
        <f>IFERROR(INDEX(Options!$F$2:$F$174,MATCH($C46&amp;"|Budget",Options!$T$2:$T$174,0))/INDEX(Options!$R$2:$R$174,MATCH($C46&amp;"|Budget",Options!$T$2:$T$174,0)),0)</f>
        <v/>
      </c>
      <c r="O46">
        <f>IFERROR(INDEX(Options!$H$2:$H$174,MATCH($C46&amp;"|Budget",Options!$T$2:$T$174,0))/INDEX(Options!$R$2:$R$174,MATCH($C46&amp;"|Budget",Options!$T$2:$T$174,0)),0)</f>
        <v/>
      </c>
      <c r="P46">
        <f>IFERROR(INDEX(Options!$F$2:$F$174,MATCH($C46&amp;"|Value",Options!$T$2:$T$174,0))/INDEX(Options!$R$2:$R$174,MATCH($C46&amp;"|Value",Options!$T$2:$T$174,0)),0)</f>
        <v/>
      </c>
      <c r="Q46">
        <f>IFERROR(INDEX(Options!$H$2:$H$174,MATCH($C46&amp;"|Value",Options!$T$2:$T$174,0))/INDEX(Options!$R$2:$R$174,MATCH($C46&amp;"|Value",Options!$T$2:$T$174,0)),0)</f>
        <v/>
      </c>
      <c r="R46">
        <f>IFERROR(INDEX(Options!$F$2:$F$174,MATCH($C46&amp;"|Premium",Options!$T$2:$T$174,0))/INDEX(Options!$R$2:$R$174,MATCH($C46&amp;"|Premium",Options!$T$2:$T$174,0)),0)</f>
        <v/>
      </c>
      <c r="S46">
        <f>IFERROR(INDEX(Options!$H$2:$H$174,MATCH($C46&amp;"|Premium",Options!$T$2:$T$174,0))/INDEX(Options!$R$2:$R$174,MATCH($C46&amp;"|Premium",Options!$T$2:$T$174,0)),0)</f>
        <v/>
      </c>
    </row>
    <row r="47">
      <c r="A47" s="10" t="inlineStr">
        <is>
          <t>Base Camp Personal</t>
        </is>
      </c>
      <c r="B47" s="10" t="inlineStr">
        <is>
          <t>Camp/creek shoes (evening, base camp)</t>
        </is>
      </c>
      <c r="C47" s="10" t="inlineStr">
        <is>
          <t>camp_shoes</t>
        </is>
      </c>
      <c r="D47" s="10" t="inlineStr">
        <is>
          <t>nice</t>
        </is>
      </c>
      <c r="E47" s="10" t="inlineStr">
        <is>
          <t>Value</t>
        </is>
      </c>
      <c r="F47" s="10">
        <f>IFERROR(MATCH($C47&amp;"|"&amp;$E47,Options!$T$2:$T$174,0),"")</f>
        <v/>
      </c>
      <c r="G47" s="11">
        <f>IF(OR($E47="Skip",$E47=""),"(skipped)",IF($E47="Own","(own gear)",IFERROR(INDEX(Options!$D$2:$D$174,$F47)&amp;" -- "&amp;INDEX(Options!$E$2:$E$174,$F47),"?")))</f>
        <v/>
      </c>
      <c r="H47" s="12">
        <f>IF($E47="Own",N($J47),IF(OR($E47="Skip",$E47=""),0,IFERROR(INDEX(Options!$F$2:$F$174,$F47)/INDEX(Options!$R$2:$R$174,$F47),0)))</f>
        <v/>
      </c>
      <c r="I47" s="13">
        <f>IF($E47="Own",0,IF(OR($E47="Skip",$E47=""),0,IFERROR(INDEX(Options!$H$2:$H$174,$F47)/INDEX(Options!$R$2:$R$174,$F47),0)))</f>
        <v/>
      </c>
      <c r="J47" s="12" t="n"/>
      <c r="K47" s="10">
        <f>IF(OR($E47="Skip",$E47="Own",$E47=""),"",IFERROR(HYPERLINK(INDEX(Options!$I$2:$I$174,$F47),"buy link"),""))</f>
        <v/>
      </c>
      <c r="L47" s="11">
        <f>IF(OR($E47="Skip",$E47="Own",$E47=""),"",IFERROR(LEFT(INDEX(Options!$L$2:$L$174,$F47),140),""))</f>
        <v/>
      </c>
      <c r="M47" s="11">
        <f>IF(OR($E47="Skip",$E47="Own",$E47=""),"",IFERROR(INDEX(Options!$S$2:$S$174,$F47),""))</f>
        <v/>
      </c>
      <c r="N47">
        <f>IFERROR(INDEX(Options!$F$2:$F$174,MATCH($C47&amp;"|Budget",Options!$T$2:$T$174,0))/INDEX(Options!$R$2:$R$174,MATCH($C47&amp;"|Budget",Options!$T$2:$T$174,0)),0)</f>
        <v/>
      </c>
      <c r="O47">
        <f>IFERROR(INDEX(Options!$H$2:$H$174,MATCH($C47&amp;"|Budget",Options!$T$2:$T$174,0))/INDEX(Options!$R$2:$R$174,MATCH($C47&amp;"|Budget",Options!$T$2:$T$174,0)),0)</f>
        <v/>
      </c>
      <c r="P47">
        <f>IFERROR(INDEX(Options!$F$2:$F$174,MATCH($C47&amp;"|Value",Options!$T$2:$T$174,0))/INDEX(Options!$R$2:$R$174,MATCH($C47&amp;"|Value",Options!$T$2:$T$174,0)),0)</f>
        <v/>
      </c>
      <c r="Q47">
        <f>IFERROR(INDEX(Options!$H$2:$H$174,MATCH($C47&amp;"|Value",Options!$T$2:$T$174,0))/INDEX(Options!$R$2:$R$174,MATCH($C47&amp;"|Value",Options!$T$2:$T$174,0)),0)</f>
        <v/>
      </c>
      <c r="R47">
        <f>IFERROR(INDEX(Options!$F$2:$F$174,MATCH($C47&amp;"|Premium",Options!$T$2:$T$174,0))/INDEX(Options!$R$2:$R$174,MATCH($C47&amp;"|Premium",Options!$T$2:$T$174,0)),0)</f>
        <v/>
      </c>
      <c r="S47">
        <f>IFERROR(INDEX(Options!$H$2:$H$174,MATCH($C47&amp;"|Premium",Options!$T$2:$T$174,0))/INDEX(Options!$R$2:$R$174,MATCH($C47&amp;"|Premium",Options!$T$2:$T$174,0)),0)</f>
        <v/>
      </c>
    </row>
    <row r="48">
      <c r="A48" s="10" t="inlineStr">
        <is>
          <t>Base Camp Personal</t>
        </is>
      </c>
      <c r="B48" s="10" t="inlineStr">
        <is>
          <t>Sit pad</t>
        </is>
      </c>
      <c r="C48" s="10" t="inlineStr">
        <is>
          <t>sit pad</t>
        </is>
      </c>
      <c r="D48" s="10" t="inlineStr">
        <is>
          <t>nice</t>
        </is>
      </c>
      <c r="E48" s="10" t="inlineStr">
        <is>
          <t>Value</t>
        </is>
      </c>
      <c r="F48" s="10">
        <f>IFERROR(MATCH($C48&amp;"|"&amp;$E48,Options!$T$2:$T$174,0),"")</f>
        <v/>
      </c>
      <c r="G48" s="11">
        <f>IF(OR($E48="Skip",$E48=""),"(skipped)",IF($E48="Own","(own gear)",IFERROR(INDEX(Options!$D$2:$D$174,$F48)&amp;" -- "&amp;INDEX(Options!$E$2:$E$174,$F48),"?")))</f>
        <v/>
      </c>
      <c r="H48" s="12">
        <f>IF($E48="Own",N($J48),IF(OR($E48="Skip",$E48=""),0,IFERROR(INDEX(Options!$F$2:$F$174,$F48)/INDEX(Options!$R$2:$R$174,$F48),0)))</f>
        <v/>
      </c>
      <c r="I48" s="13">
        <f>IF($E48="Own",0,IF(OR($E48="Skip",$E48=""),0,IFERROR(INDEX(Options!$H$2:$H$174,$F48)/INDEX(Options!$R$2:$R$174,$F48),0)))</f>
        <v/>
      </c>
      <c r="J48" s="12" t="n"/>
      <c r="K48" s="10">
        <f>IF(OR($E48="Skip",$E48="Own",$E48=""),"",IFERROR(HYPERLINK(INDEX(Options!$I$2:$I$174,$F48),"buy link"),""))</f>
        <v/>
      </c>
      <c r="L48" s="11">
        <f>IF(OR($E48="Skip",$E48="Own",$E48=""),"",IFERROR(LEFT(INDEX(Options!$L$2:$L$174,$F48),140),""))</f>
        <v/>
      </c>
      <c r="M48" s="11">
        <f>IF(OR($E48="Skip",$E48="Own",$E48=""),"",IFERROR(INDEX(Options!$S$2:$S$174,$F48),""))</f>
        <v/>
      </c>
      <c r="N48">
        <f>IFERROR(INDEX(Options!$F$2:$F$174,MATCH($C48&amp;"|Budget",Options!$T$2:$T$174,0))/INDEX(Options!$R$2:$R$174,MATCH($C48&amp;"|Budget",Options!$T$2:$T$174,0)),0)</f>
        <v/>
      </c>
      <c r="O48">
        <f>IFERROR(INDEX(Options!$H$2:$H$174,MATCH($C48&amp;"|Budget",Options!$T$2:$T$174,0))/INDEX(Options!$R$2:$R$174,MATCH($C48&amp;"|Budget",Options!$T$2:$T$174,0)),0)</f>
        <v/>
      </c>
      <c r="P48">
        <f>IFERROR(INDEX(Options!$F$2:$F$174,MATCH($C48&amp;"|Value",Options!$T$2:$T$174,0))/INDEX(Options!$R$2:$R$174,MATCH($C48&amp;"|Value",Options!$T$2:$T$174,0)),0)</f>
        <v/>
      </c>
      <c r="Q48">
        <f>IFERROR(INDEX(Options!$H$2:$H$174,MATCH($C48&amp;"|Value",Options!$T$2:$T$174,0))/INDEX(Options!$R$2:$R$174,MATCH($C48&amp;"|Value",Options!$T$2:$T$174,0)),0)</f>
        <v/>
      </c>
      <c r="R48">
        <f>IFERROR(INDEX(Options!$F$2:$F$174,MATCH($C48&amp;"|Premium",Options!$T$2:$T$174,0))/INDEX(Options!$R$2:$R$174,MATCH($C48&amp;"|Premium",Options!$T$2:$T$174,0)),0)</f>
        <v/>
      </c>
      <c r="S48">
        <f>IFERROR(INDEX(Options!$H$2:$H$174,MATCH($C48&amp;"|Premium",Options!$T$2:$T$174,0))/INDEX(Options!$R$2:$R$174,MATCH($C48&amp;"|Premium",Options!$T$2:$T$174,0)),0)</f>
        <v/>
      </c>
    </row>
    <row r="49">
      <c r="A49" s="10" t="inlineStr">
        <is>
          <t>Base Camp Personal</t>
        </is>
      </c>
      <c r="B49" s="10" t="inlineStr">
        <is>
          <t>Trekking poles</t>
        </is>
      </c>
      <c r="C49" s="10" t="inlineStr">
        <is>
          <t>trekking poles</t>
        </is>
      </c>
      <c r="D49" s="10" t="inlineStr">
        <is>
          <t>nice</t>
        </is>
      </c>
      <c r="E49" s="10" t="inlineStr">
        <is>
          <t>Value</t>
        </is>
      </c>
      <c r="F49" s="10">
        <f>IFERROR(MATCH($C49&amp;"|"&amp;$E49,Options!$T$2:$T$174,0),"")</f>
        <v/>
      </c>
      <c r="G49" s="11">
        <f>IF(OR($E49="Skip",$E49=""),"(skipped)",IF($E49="Own","(own gear)",IFERROR(INDEX(Options!$D$2:$D$174,$F49)&amp;" -- "&amp;INDEX(Options!$E$2:$E$174,$F49),"?")))</f>
        <v/>
      </c>
      <c r="H49" s="12">
        <f>IF($E49="Own",N($J49),IF(OR($E49="Skip",$E49=""),0,IFERROR(INDEX(Options!$F$2:$F$174,$F49)/INDEX(Options!$R$2:$R$174,$F49),0)))</f>
        <v/>
      </c>
      <c r="I49" s="13">
        <f>IF($E49="Own",0,IF(OR($E49="Skip",$E49=""),0,IFERROR(INDEX(Options!$H$2:$H$174,$F49)/INDEX(Options!$R$2:$R$174,$F49),0)))</f>
        <v/>
      </c>
      <c r="J49" s="12" t="n"/>
      <c r="K49" s="10">
        <f>IF(OR($E49="Skip",$E49="Own",$E49=""),"",IFERROR(HYPERLINK(INDEX(Options!$I$2:$I$174,$F49),"buy link"),""))</f>
        <v/>
      </c>
      <c r="L49" s="11">
        <f>IF(OR($E49="Skip",$E49="Own",$E49=""),"",IFERROR(LEFT(INDEX(Options!$L$2:$L$174,$F49),140),""))</f>
        <v/>
      </c>
      <c r="M49" s="11">
        <f>IF(OR($E49="Skip",$E49="Own",$E49=""),"",IFERROR(INDEX(Options!$S$2:$S$174,$F49),""))</f>
        <v/>
      </c>
      <c r="N49">
        <f>IFERROR(INDEX(Options!$F$2:$F$174,MATCH($C49&amp;"|Budget",Options!$T$2:$T$174,0))/INDEX(Options!$R$2:$R$174,MATCH($C49&amp;"|Budget",Options!$T$2:$T$174,0)),0)</f>
        <v/>
      </c>
      <c r="O49">
        <f>IFERROR(INDEX(Options!$H$2:$H$174,MATCH($C49&amp;"|Budget",Options!$T$2:$T$174,0))/INDEX(Options!$R$2:$R$174,MATCH($C49&amp;"|Budget",Options!$T$2:$T$174,0)),0)</f>
        <v/>
      </c>
      <c r="P49">
        <f>IFERROR(INDEX(Options!$F$2:$F$174,MATCH($C49&amp;"|Value",Options!$T$2:$T$174,0))/INDEX(Options!$R$2:$R$174,MATCH($C49&amp;"|Value",Options!$T$2:$T$174,0)),0)</f>
        <v/>
      </c>
      <c r="Q49">
        <f>IFERROR(INDEX(Options!$H$2:$H$174,MATCH($C49&amp;"|Value",Options!$T$2:$T$174,0))/INDEX(Options!$R$2:$R$174,MATCH($C49&amp;"|Value",Options!$T$2:$T$174,0)),0)</f>
        <v/>
      </c>
      <c r="R49">
        <f>IFERROR(INDEX(Options!$F$2:$F$174,MATCH($C49&amp;"|Premium",Options!$T$2:$T$174,0))/INDEX(Options!$R$2:$R$174,MATCH($C49&amp;"|Premium",Options!$T$2:$T$174,0)),0)</f>
        <v/>
      </c>
      <c r="S49">
        <f>IFERROR(INDEX(Options!$H$2:$H$174,MATCH($C49&amp;"|Premium",Options!$T$2:$T$174,0))/INDEX(Options!$R$2:$R$174,MATCH($C49&amp;"|Premium",Options!$T$2:$T$174,0)),0)</f>
        <v/>
      </c>
    </row>
    <row r="50">
      <c r="A50" s="14" t="inlineStr">
        <is>
          <t>Worn subtotal</t>
        </is>
      </c>
      <c r="B50" s="14" t="n"/>
      <c r="C50" s="14" t="n"/>
      <c r="D50" s="14" t="n"/>
      <c r="E50" s="14" t="n"/>
      <c r="F50" s="14" t="n"/>
      <c r="G50" s="14" t="n"/>
      <c r="H50" s="15">
        <f>SUM(H2:H7)</f>
        <v/>
      </c>
      <c r="I50" s="16">
        <f>SUM(I2:I7)</f>
        <v/>
      </c>
      <c r="J50" s="14" t="n"/>
      <c r="K50" s="14" t="n"/>
      <c r="L50" s="14" t="n"/>
      <c r="M50" s="14" t="n"/>
    </row>
    <row r="51">
      <c r="A51" s="14" t="inlineStr">
        <is>
          <t>Overnight Pack subtotal</t>
        </is>
      </c>
      <c r="B51" s="14" t="n"/>
      <c r="C51" s="14" t="n"/>
      <c r="D51" s="14" t="n"/>
      <c r="E51" s="14" t="n"/>
      <c r="F51" s="14" t="n"/>
      <c r="G51" s="14" t="n"/>
      <c r="H51" s="15">
        <f>SUM(H8:H35)</f>
        <v/>
      </c>
      <c r="I51" s="16">
        <f>SUM(I8:I35)</f>
        <v/>
      </c>
      <c r="J51" s="14" t="n"/>
      <c r="K51" s="14" t="n"/>
      <c r="L51" s="14" t="n"/>
      <c r="M51" s="14" t="n"/>
    </row>
    <row r="52">
      <c r="A52" s="14" t="inlineStr">
        <is>
          <t>Trail Creek Kit subtotal</t>
        </is>
      </c>
      <c r="B52" s="14" t="n"/>
      <c r="C52" s="14" t="n"/>
      <c r="D52" s="14" t="n"/>
      <c r="E52" s="14" t="n"/>
      <c r="F52" s="14" t="n"/>
      <c r="G52" s="14" t="n"/>
      <c r="H52" s="15">
        <f>SUM(H36:H43)</f>
        <v/>
      </c>
      <c r="I52" s="16">
        <f>SUM(I36:I43)</f>
        <v/>
      </c>
      <c r="J52" s="14" t="n"/>
      <c r="K52" s="14" t="n"/>
      <c r="L52" s="14" t="n"/>
      <c r="M52" s="14" t="n"/>
    </row>
    <row r="53">
      <c r="A53" s="14" t="inlineStr">
        <is>
          <t>Base Camp Personal subtotal</t>
        </is>
      </c>
      <c r="B53" s="14" t="n"/>
      <c r="C53" s="14" t="n"/>
      <c r="D53" s="14" t="n"/>
      <c r="E53" s="14" t="n"/>
      <c r="F53" s="14" t="n"/>
      <c r="G53" s="14" t="n"/>
      <c r="H53" s="15">
        <f>SUM(H44:H49)</f>
        <v/>
      </c>
      <c r="I53" s="16">
        <f>SUM(I44:I49)</f>
        <v/>
      </c>
      <c r="J53" s="14" t="n"/>
      <c r="K53" s="14" t="n"/>
      <c r="L53" s="14" t="n"/>
      <c r="M53" s="14" t="n"/>
    </row>
    <row r="54">
      <c r="A54" s="17" t="inlineStr">
        <is>
          <t>GRAND TOTAL (his gear, all kits)</t>
        </is>
      </c>
      <c r="B54" s="17" t="n"/>
      <c r="C54" s="17" t="n"/>
      <c r="D54" s="17" t="n"/>
      <c r="E54" s="17" t="n"/>
      <c r="F54" s="17" t="n"/>
      <c r="G54" s="17" t="n"/>
      <c r="H54" s="18">
        <f>SUM(H2:H49)</f>
        <v/>
      </c>
      <c r="I54" s="19">
        <f>SUM(I2:I49)</f>
        <v/>
      </c>
      <c r="J54" s="17" t="n"/>
      <c r="K54" s="17" t="n"/>
      <c r="L54" s="17" t="n"/>
      <c r="M54" s="17" t="n"/>
    </row>
  </sheetData>
  <conditionalFormatting sqref="E2:E49">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5">
    <cfRule type="expression" priority="7" dxfId="5">
      <formula>$A8=$A8</formula>
    </cfRule>
  </conditionalFormatting>
  <conditionalFormatting sqref="A36:A43">
    <cfRule type="expression" priority="8" dxfId="5">
      <formula>$A36=$A36</formula>
    </cfRule>
  </conditionalFormatting>
  <conditionalFormatting sqref="A44:A49">
    <cfRule type="expression" priority="9" dxfId="5">
      <formula>$A44=$A44</formula>
    </cfRule>
  </conditionalFormatting>
  <dataValidations count="1">
    <dataValidation sqref="E2 E3 E4 E5 E6 E7 E8 E9 E10 E11 E12 E13 E14 E15 E16 E17 E18 E19 E20 E21 E22 E23 E24 E25 E26 E27 E28 E29 E30 E31 E32 E33 E34 E35 E36 E37 E38 E39 E40 E41 E42 E43 E44 E45 E46 E47 E48 E49"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(SUM(Picker!H8:H35)+SUM(Picker!H36:H43))/16</f>
        <v/>
      </c>
      <c r="D6" s="21">
        <f>((SUM(Picker!H8:H35)+SUM(Picker!H36:H43))+48+35.2)/16</f>
        <v/>
      </c>
      <c r="E6" s="22">
        <f>SUM(Picker!I2:I49)</f>
        <v/>
      </c>
    </row>
    <row r="8">
      <c r="B8" s="23">
        <f>TEXT(INT(((SUM(Picker!H8:H35)+SUM(Picker!H36:H43))+48+35.2)/16),"0")&amp;" lb "&amp;TEXT(MOD((SUM(Picker!H8:H35)+SUM(Picker!H36:H43))+48+35.2,16),"0.0")&amp;"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Picker!H50/16</f>
        <v/>
      </c>
      <c r="D12" s="26">
        <f>Picker!I50</f>
        <v/>
      </c>
    </row>
    <row r="13">
      <c r="B13" t="inlineStr">
        <is>
          <t>Overnight Pack</t>
        </is>
      </c>
      <c r="C13" s="25">
        <f>Picker!H51/16</f>
        <v/>
      </c>
      <c r="D13" s="26">
        <f>Picker!I51</f>
        <v/>
      </c>
    </row>
    <row r="14">
      <c r="B14" t="inlineStr">
        <is>
          <t>Trail Creek Kit</t>
        </is>
      </c>
      <c r="C14" s="25">
        <f>Picker!H52/16</f>
        <v/>
      </c>
      <c r="D14" s="26">
        <f>Picker!I52</f>
        <v/>
      </c>
    </row>
    <row r="15">
      <c r="B15" t="inlineStr">
        <is>
          <t>Base Camp Personal</t>
        </is>
      </c>
      <c r="C15" s="25">
        <f>Picker!H53/16</f>
        <v/>
      </c>
      <c r="D15" s="26">
        <f>Picker!I53</f>
        <v/>
      </c>
    </row>
    <row r="17">
      <c r="B17" s="5" t="inlineStr">
        <is>
          <t>Must-haves still set to Skip:</t>
        </is>
      </c>
      <c r="D17" s="27">
        <f>COUNTIFS(Picker!D2:D49,"must",Picker!E2:E49,"Skip")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(SUM(Picker!N8:N35)+SUM(Picker!N36:N43))/16</f>
        <v/>
      </c>
      <c r="D21" s="26">
        <f>SUM(Picker!O2:O49)</f>
        <v/>
      </c>
    </row>
    <row r="22">
      <c r="B22" s="29" t="inlineStr">
        <is>
          <t>Value</t>
        </is>
      </c>
      <c r="C22" s="25">
        <f>(SUM(Picker!P8:P35)+SUM(Picker!P36:P43))/16</f>
        <v/>
      </c>
      <c r="D22" s="26">
        <f>SUM(Picker!Q2:Q49)</f>
        <v/>
      </c>
    </row>
    <row r="23">
      <c r="B23" s="30" t="inlineStr">
        <is>
          <t>Premium</t>
        </is>
      </c>
      <c r="C23" s="25">
        <f>(SUM(Picker!R8:R35)+SUM(Picker!R36:R43))/16</f>
        <v/>
      </c>
      <c r="D23" s="26">
        <f>SUM(Picker!S2:S49)</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1-person 3-season shelter (each hiker carries and owns his own tent, not split)</t>
        </is>
      </c>
      <c r="C4" s="32" t="inlineStr">
        <is>
          <t>Late Start 1P Tent</t>
        </is>
      </c>
      <c r="D4" s="33" t="n">
        <v>57</v>
      </c>
      <c r="E4" s="34" t="n">
        <v>149.95</v>
      </c>
      <c r="F4" s="11" t="inlineStr">
        <is>
          <t>n/a, new arrival</t>
        </is>
      </c>
      <c r="G4" s="11" t="n">
        <v>5</v>
      </c>
      <c r="H4" s="11" t="inlineStr">
        <is>
          <t>Freestanding pole tent handles rocky/root-y GA sites and is easy for a beginner to pitch solo in the dark or rain</t>
        </is>
      </c>
      <c r="I4" s="11" t="inlineStr">
        <is>
          <t>REI's cheapest current 1-person freestanding backpacking tent -- 'Quick Corner' pole design pitches fast, full-coverage rainfly, straightforward freestanding setup that suits a first-time solo tent buyer.</t>
        </is>
      </c>
      <c r="J4" s="11" t="inlineStr">
        <is>
          <t>Freestanding, fast/easy pitch; Full-coverage rainfly; Cheapest in-stock 1P option with a return policy</t>
        </is>
      </c>
      <c r="K4" s="11" t="inlineStr">
        <is>
          <t>Heavier than UL 1P tents; New model, few reviews yet</t>
        </is>
      </c>
      <c r="L4" s="35" t="inlineStr">
        <is>
          <t>Elixir 1 Tent with Footprint</t>
        </is>
      </c>
      <c r="M4" s="33" t="n">
        <v>65</v>
      </c>
      <c r="N4" s="34" t="n">
        <v>289.95</v>
      </c>
      <c r="O4" s="11" t="inlineStr">
        <is>
          <t>$150-200 used</t>
        </is>
      </c>
      <c r="P4" s="11" t="n">
        <v>5</v>
      </c>
      <c r="Q4" s="11" t="inlineStr">
        <is>
          <t>Easy solo pitch on rocky NC/GA sites, full double-wall handles humid cold-30s condensation well</t>
        </is>
      </c>
      <c r="R4" s="11" t="inlineStr">
        <is>
          <t>REI markets the Elixir line explicitly to newer backpackers -- freestanding traditional pole tent (not trekking-pole-only, not DCF), roomy 18 sq ft interior, includes footprint.</t>
        </is>
      </c>
      <c r="S4" s="11" t="inlineStr">
        <is>
          <t>Freestanding, beginner-friendly per REI's own description; Roomy 18 sq ft floor, tall 39in headroom; Includes footprint</t>
        </is>
      </c>
      <c r="T4" s="11" t="inlineStr">
        <is>
          <t>Heavier than UL trekking-pole shelters; Not as light as the old shared 2P split-weight math</t>
        </is>
      </c>
      <c r="U4" s="36" t="inlineStr">
        <is>
          <t>Dragonfly OSMO 1P Ultralight Backpacking Tent</t>
        </is>
      </c>
      <c r="V4" s="33" t="n">
        <v>34</v>
      </c>
      <c r="W4" s="34" t="n">
        <v>499.95</v>
      </c>
      <c r="X4" s="11" t="inlineStr">
        <is>
          <t>$300-380 used, holds value well</t>
        </is>
      </c>
      <c r="Y4" s="11" t="n">
        <v>4</v>
      </c>
      <c r="Z4" s="11" t="inlineStr">
        <is>
          <t>Freestanding and forgiving for a beginner while being light enough to actually enjoy carrying solo</t>
        </is>
      </c>
      <c r="AA4" s="11" t="inlineStr">
        <is>
          <t>One of the most-recommended freestanding 1-person UL tents in CleverHiker/OutdoorGearLab roundups -- true freestanding pole design (not DCF, not trekking-pole-only), light enough to matter, easy livability for a first solo backpacking tent.</t>
        </is>
      </c>
      <c r="AB4" s="11" t="inlineStr">
        <is>
          <t>True freestanding -- no trekking poles/DCF pitch skills required; Well under 2.5 lb; High headroom/livability for the weight</t>
        </is>
      </c>
      <c r="AC4" s="11" t="inlineStr">
        <is>
          <t>$499.95 is a real spend for one trip; Still needs practice pitching before the trip</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33" t="n">
        <v>25</v>
      </c>
      <c r="E6" s="34"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52.95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2.17</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Jordan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cathole_trowel</t>
        </is>
      </c>
      <c r="B24" s="10" t="inlineStr">
        <is>
          <t>shared cathole trowel</t>
        </is>
      </c>
      <c r="C24" s="32" t="inlineStr">
        <is>
          <t>Backpackers Trowel</t>
        </is>
      </c>
      <c r="D24" s="33" t="n">
        <v>1.5</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toiletries</t>
        </is>
      </c>
      <c r="B25" s="10" t="inlineStr">
        <is>
          <t>personal toiletries/hygiene kit</t>
        </is>
      </c>
      <c r="C25" s="32" t="inlineStr">
        <is>
          <t>Travel-size toothbrush, toothpaste, TP, hand sanitizer</t>
        </is>
      </c>
      <c r="D25" s="33" t="n">
        <v>3.5</v>
      </c>
      <c r="E25" s="34" t="n">
        <v>3.94</v>
      </c>
      <c r="F25" s="11" t="inlineStr">
        <is>
          <t>n/a</t>
        </is>
      </c>
      <c r="G25" s="11" t="n">
        <v>5</v>
      </c>
      <c r="H25" s="11" t="inlineStr">
        <is>
          <t>Plenty for one night out</t>
        </is>
      </c>
      <c r="I25" s="11" t="inlineStr">
        <is>
          <t>Basic drugstore/travel-size toiletries are all a single overnight needs -- no reason to spend more.</t>
        </is>
      </c>
      <c r="J25" s="11" t="inlineStr">
        <is>
          <t>Cheap; Covers the one overnight fine</t>
        </is>
      </c>
      <c r="K25" s="11" t="inlineStr">
        <is>
          <t>Travel sizes only, not a full-size refill</t>
        </is>
      </c>
      <c r="L25" s="35" t="inlineStr">
        <is>
          <t>Small toiletry bag + biodegradable wipes</t>
        </is>
      </c>
      <c r="M25" s="33" t="n">
        <v>4</v>
      </c>
      <c r="N25" s="34" t="n">
        <v>9</v>
      </c>
      <c r="O25" s="11" t="inlineStr">
        <is>
          <t>n/a</t>
        </is>
      </c>
      <c r="P25" s="11" t="n">
        <v>5</v>
      </c>
      <c r="Q25" s="11" t="inlineStr">
        <is>
          <t>Good middle choice</t>
        </is>
      </c>
      <c r="R25" s="11" t="inlineStr">
        <is>
          <t>Adding biodegradable wipes is a common r/backpacking upgrade over toothbrush-only for a sweaty overnight.</t>
        </is>
      </c>
      <c r="S25" s="11" t="inlineStr">
        <is>
          <t>Wipes help with the one-night no-shower stretch</t>
        </is>
      </c>
      <c r="T25" s="11" t="inlineStr">
        <is>
          <t>Slightly heavier/bulkier than the bare minimum</t>
        </is>
      </c>
      <c r="U25" s="36" t="inlineStr">
        <is>
          <t>Ultralight toiletry kit + pack towel wipes + sunscreen/lip balm travel set</t>
        </is>
      </c>
      <c r="V25" s="33" t="n">
        <v>5</v>
      </c>
      <c r="W25" s="34" t="n">
        <v>15</v>
      </c>
      <c r="X25" s="11" t="inlineStr">
        <is>
          <t>n/a</t>
        </is>
      </c>
      <c r="Y25" s="11" t="n">
        <v>4</v>
      </c>
      <c r="Z25" s="11" t="inlineStr">
        <is>
          <t>Nice but not necessary for one overnight</t>
        </is>
      </c>
      <c r="AA25" s="11" t="inlineStr">
        <is>
          <t>A fuller kit for anyone who wants more than the bare minimum; not required for a one-night trip.</t>
        </is>
      </c>
      <c r="AB25" s="11" t="inlineStr">
        <is>
          <t>Most complete personal kit</t>
        </is>
      </c>
      <c r="AC25" s="11" t="inlineStr">
        <is>
          <t>Overkill for a single overnight</t>
        </is>
      </c>
    </row>
    <row r="26" ht="75" customHeight="1">
      <c r="A26" s="31" t="inlineStr">
        <is>
          <t>trekking poles</t>
        </is>
      </c>
      <c r="B26" s="10" t="inlineStr">
        <is>
          <t>personal trekking poles</t>
        </is>
      </c>
      <c r="C26" s="32" t="inlineStr">
        <is>
          <t>Aluminum adjustable trekking poles (pair)</t>
        </is>
      </c>
      <c r="D26" s="33" t="n">
        <v>18</v>
      </c>
      <c r="E26" s="34" t="n">
        <v>49.99</v>
      </c>
      <c r="F26" s="11" t="inlineStr">
        <is>
          <t>$15-22</t>
        </is>
      </c>
      <c r="G26" s="11" t="n">
        <v>5</v>
      </c>
      <c r="H26" s="11" t="inlineStr">
        <is>
          <t>Fine for a 3-5 mile trail with moderate elevation change</t>
        </is>
      </c>
      <c r="I26" s="11" t="inlineStr">
        <is>
          <t>Cited in trekking pole roundups as an acceptable entry-level aluminum pole — heavier than carbon options but more impact-resistant (aluminum bends rather than snaps), which some beginners prefer for a first trip.</t>
        </is>
      </c>
      <c r="J26" s="11" t="inlineStr">
        <is>
          <t>Cheap; Aluminum bends instead of snapping under side load</t>
        </is>
      </c>
      <c r="K26" s="11" t="inlineStr">
        <is>
          <t>Noticeably heavier than carbon options</t>
        </is>
      </c>
      <c r="L26" s="35" t="inlineStr">
        <is>
          <t>Carbon Fiber Quick Lock (pair)</t>
        </is>
      </c>
      <c r="M26" s="33" t="n">
        <v>8.1</v>
      </c>
      <c r="N26" s="34" t="n">
        <v>64.98999999999999</v>
      </c>
      <c r="O26" s="11" t="inlineStr">
        <is>
          <t>$28-38</t>
        </is>
      </c>
      <c r="P26" s="11" t="n">
        <v>4</v>
      </c>
      <c r="Q26" s="11" t="inlineStr">
        <is>
          <t>Great pick for moderate GA trail terrain; check lock tension before the trip</t>
        </is>
      </c>
      <c r="R26"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6" s="11" t="inlineStr">
        <is>
          <t>Genuinely light carbon shaft at aluminum-budget pricing; Cork grips, tungsten carbide tips</t>
        </is>
      </c>
      <c r="T26" s="11" t="inlineStr">
        <is>
          <t>Lever locks can slip under load — check tension before descents</t>
        </is>
      </c>
      <c r="U26" s="36" t="inlineStr">
        <is>
          <t>Distance Carbon Z (pair)</t>
        </is>
      </c>
      <c r="V26" s="33" t="n">
        <v>10.9</v>
      </c>
      <c r="W26" s="34" t="n">
        <v>219.95</v>
      </c>
      <c r="X26" s="11" t="inlineStr">
        <is>
          <t>$110-140</t>
        </is>
      </c>
      <c r="Y26" s="11" t="n">
        <v>3</v>
      </c>
      <c r="Z26" s="11" t="inlineStr">
        <is>
          <t>Nice if poles need to be quickly stowed for creek panning work, but not required for this trip</t>
        </is>
      </c>
      <c r="AA26"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6" s="11" t="inlineStr">
        <is>
          <t>Folds very small — easy to stash while panning; Reliable, no lock-slip issue; Genuinely light</t>
        </is>
      </c>
      <c r="AC26" s="11" t="inlineStr">
        <is>
          <t>Expensive; Fixed length per pole size (less adjustable than telescoping poles)</t>
        </is>
      </c>
    </row>
    <row r="27" ht="75" customHeight="1">
      <c r="A27" s="31" t="inlineStr">
        <is>
          <t>sit pad</t>
        </is>
      </c>
      <c r="B27" s="10" t="inlineStr">
        <is>
          <t>personal sit pad</t>
        </is>
      </c>
      <c r="C27" s="32" t="inlineStr">
        <is>
          <t>Cut piece of leftover closed-cell foam pad</t>
        </is>
      </c>
      <c r="D27" s="33" t="n">
        <v>1</v>
      </c>
      <c r="E27" s="34" t="n">
        <v>0</v>
      </c>
      <c r="F27" s="11" t="inlineStr">
        <is>
          <t>n/a</t>
        </is>
      </c>
      <c r="G27" s="11" t="n">
        <v>5</v>
      </c>
      <c r="H27" s="11" t="inlineStr">
        <is>
          <t>Perfectly fine for sitting on cold/wet ground at the creek or camp</t>
        </is>
      </c>
      <c r="I27" s="11" t="inlineStr">
        <is>
          <t>A near-universal r/Ultralight DIY move — cut a small rectangle off a cheap CCF foam pad (or a leftover packaging foam scrap) instead of buying a dedicated sit pad; costs nothing and works identically.</t>
        </is>
      </c>
      <c r="J27" s="11" t="inlineStr">
        <is>
          <t>Free if any CCF foam is on hand; Zero functional downside vs. a bought pad</t>
        </is>
      </c>
      <c r="K27" s="11" t="inlineStr">
        <is>
          <t>Less polished/finished edges than a purpose-made pad</t>
        </is>
      </c>
      <c r="L27" s="35" t="inlineStr">
        <is>
          <t>Z Seat</t>
        </is>
      </c>
      <c r="M27" s="33" t="n">
        <v>2</v>
      </c>
      <c r="N27" s="34" t="n">
        <v>34.28</v>
      </c>
      <c r="O27" s="11" t="inlineStr">
        <is>
          <t>$10-14</t>
        </is>
      </c>
      <c r="P27" s="11" t="n">
        <v>5</v>
      </c>
      <c r="Q27" s="11" t="inlineStr">
        <is>
          <t>Good for sitting on cold/wet gravel bars while panning</t>
        </is>
      </c>
      <c r="R27" s="11" t="inlineStr">
        <is>
          <t>The classic, most-owned dedicated sit pad in the backpacking community — reflective aluminized coating adds a bit of ground insulation, folds compactly, and rarely gets 'upgraded away from' even by serious UL hikers.</t>
        </is>
      </c>
      <c r="S27" s="11" t="inlineStr">
        <is>
          <t>Reflective layer adds real ground insulation; Compact accordion fold; Durable</t>
        </is>
      </c>
      <c r="T27" s="11" t="inlineStr">
        <is>
          <t>Costs money for something a foam scrap does for free</t>
        </is>
      </c>
      <c r="U27" s="36" t="inlineStr">
        <is>
          <t>1/8in Thinlight Foam Pad (full torso, multi-use)</t>
        </is>
      </c>
      <c r="V27" s="33" t="n">
        <v>2.8</v>
      </c>
      <c r="W27" s="34" t="n">
        <v>22.5</v>
      </c>
      <c r="X27" s="11" t="inlineStr">
        <is>
          <t>$12-16</t>
        </is>
      </c>
      <c r="Y27" s="11" t="n">
        <v>3</v>
      </c>
      <c r="Z27" s="11" t="inlineStr">
        <is>
          <t>Most useful if the pack chosen is frameless and benefits from a stiffener; otherwise the Z Seat (value tier) is simpler for this trip</t>
        </is>
      </c>
      <c r="AA27" s="11" t="inlineStr">
        <is>
          <t>The multi-use pick long-distance UL hikers reach for — a full torso-length pad that doubles as a frameless-pack stiffener/frame sheet AND a sit pad/extra sleeping insulation, rather than carrying a dedicated single-purpose sit pad.</t>
        </is>
      </c>
      <c r="AB27" s="11" t="inlineStr">
        <is>
          <t>Multi-use — pack frame, sit pad, extra sleep insulation; Full torso length gives more usable sitting/kneeling area</t>
        </is>
      </c>
      <c r="AC27" s="11" t="inlineStr">
        <is>
          <t>Not a true 'premium' single-purpose product — only worth it if also using a frameless pack</t>
        </is>
      </c>
    </row>
    <row r="28" ht="75" customHeight="1">
      <c r="A28" s="31" t="inlineStr">
        <is>
          <t>camp shoes</t>
        </is>
      </c>
      <c r="B28" s="10" t="inlineStr">
        <is>
          <t>personal camp/creek shoes</t>
        </is>
      </c>
      <c r="C28" s="32" t="inlineStr">
        <is>
          <t>Gabe Cloud Slide Sandals</t>
        </is>
      </c>
      <c r="D28" s="33" t="n">
        <v>6</v>
      </c>
      <c r="E28" s="34" t="n">
        <v>19.99</v>
      </c>
      <c r="F28" s="11" t="inlineStr">
        <is>
          <t>n/a</t>
        </is>
      </c>
      <c r="G28" s="11" t="n">
        <v>4</v>
      </c>
      <c r="H28" s="11" t="inlineStr">
        <is>
          <t>Fine for around the tent, not recommended for the creek itself (use the dedicated neoprene-sock+sneaker creek setup instead)</t>
        </is>
      </c>
      <c r="I28" s="11" t="inlineStr">
        <is>
          <t>Cheap foam slides show up constantly in camp-shoe threads as the 'why spend more' option for just giving your feet a break at camp — functional but not great for wet, uneven creek terrain.</t>
        </is>
      </c>
      <c r="J28" s="11" t="inlineStr">
        <is>
          <t>Very cheap; Lets feet dry out and breathe at camp</t>
        </is>
      </c>
      <c r="K28" s="11" t="inlineStr">
        <is>
          <t>Poor traction on wet rocks/gravel; Not secure enough for creek walking</t>
        </is>
      </c>
      <c r="L28" s="35" t="inlineStr">
        <is>
          <t>Classic Clog</t>
        </is>
      </c>
      <c r="M28" s="33" t="n">
        <v>12</v>
      </c>
      <c r="N28" s="34" t="n">
        <v>49.99</v>
      </c>
      <c r="O28" s="11" t="inlineStr">
        <is>
          <t>$18-25</t>
        </is>
      </c>
      <c r="P28" s="11" t="n">
        <v>5</v>
      </c>
      <c r="Q28" s="11" t="inlineStr">
        <is>
          <t>Good for base camp and around the tent after the panning-specific footwear comes off</t>
        </is>
      </c>
      <c r="R28"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8" s="11" t="inlineStr">
        <is>
          <t>Comfortable, breathable; Secure with the heel strap down; Iconic on-trail camp shoe</t>
        </is>
      </c>
      <c r="T28" s="11" t="inlineStr">
        <is>
          <t>Heavier/bulkier than minimalist sandals; Tread is mediocre on wet rock compared to purpose-built water sandals</t>
        </is>
      </c>
      <c r="U28" s="36" t="inlineStr">
        <is>
          <t>Z-Trail EV Sandals</t>
        </is>
      </c>
      <c r="V28" s="33" t="n">
        <v>8.800000000000001</v>
      </c>
      <c r="W28" s="34" t="n">
        <v>80</v>
      </c>
      <c r="X28" s="11" t="inlineStr">
        <is>
          <t>$35-45</t>
        </is>
      </c>
      <c r="Y28" s="11" t="n">
        <v>4</v>
      </c>
      <c r="Z28" s="11" t="inlineStr">
        <is>
          <t>Good dual-purpose option for both camp lounging and light creek wading (though the dedicated neoprene-sock setup in Kit 3 is still better for extended cold-water panning)</t>
        </is>
      </c>
      <c r="AA28" s="11" t="inlineStr">
        <is>
          <t>The minimalist-sandal pick serious UL/thru-hikers reach for over Crocs — lighter, better secured with adjustable straps, and grippier tread for wet creek rock, at the cost of less cushioning than Crocs for just lounging at camp.</t>
        </is>
      </c>
      <c r="AB28" s="11" t="inlineStr">
        <is>
          <t>Lighter than Crocs; Adjustable straps stay secure on uneven creek terrain; Better wet-rock traction</t>
        </is>
      </c>
      <c r="AC28" s="11" t="inlineStr">
        <is>
          <t>Minimal cushioning — less comfortable than Crocs for just relaxing at camp; Pricier</t>
        </is>
      </c>
    </row>
    <row r="29" ht="75" customHeight="1">
      <c r="A29" s="31" t="inlineStr">
        <is>
          <t>hiking_footwear</t>
        </is>
      </c>
      <c r="B29" s="10" t="inlineStr">
        <is>
          <t>Hiking footwear for hiking + repeated creek wading</t>
        </is>
      </c>
      <c r="C29" s="32" t="inlineStr">
        <is>
          <t>Any old/thrifted trail running shoe (mesh upper, non-waterproof)</t>
        </is>
      </c>
      <c r="D29" s="33" t="n">
        <v>24</v>
      </c>
      <c r="E29" s="34" t="n">
        <v>0</v>
      </c>
      <c r="F29" s="11" t="inlineStr">
        <is>
          <t>$0 (already owned) - $15 thrift</t>
        </is>
      </c>
      <c r="G29" s="11" t="n">
        <v>2</v>
      </c>
      <c r="H29"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9" s="11" t="inlineStr">
        <is>
          <t>r/Ultralight and r/WildernessBackpacking consensus is that mesh trail runners that drain and dry fast beat boots for creek work; people who wade a lot just accept wet feet and dry out on the move rather than fighting to keep boots dry.</t>
        </is>
      </c>
      <c r="J29" s="11" t="inlineStr">
        <is>
          <t>free if already owned; no weight penalty vs boots; dries faster than any boot</t>
        </is>
      </c>
      <c r="K29" s="11" t="inlineStr">
        <is>
          <t>no ankle support; tread may be worn/slick on wet rock; no guarantee of fit</t>
        </is>
      </c>
      <c r="L29" s="35" t="inlineStr">
        <is>
          <t>Moab 3</t>
        </is>
      </c>
      <c r="M29" s="33" t="n">
        <v>33</v>
      </c>
      <c r="N29" s="34" t="n">
        <v>100.93</v>
      </c>
      <c r="O29" s="11" t="inlineStr">
        <is>
          <t>$35-50 on eBay/GearTrade used</t>
        </is>
      </c>
      <c r="P29" s="11" t="n">
        <v>4</v>
      </c>
      <c r="Q29" s="11" t="inlineStr">
        <is>
          <t>Good middle ground — enough support for the 3-5 mi overnight hike, Vibram sole grips creek gravel well</t>
        </is>
      </c>
      <c r="R29" s="11" t="inlineStr">
        <is>
          <t>Moab 3 is repeatedly cited as the 'good enough at a great price' hiking shoe across r/WildernessBackpacking and r/backpacking threads — supportive, grippy on wet rock, breaks in with minimal effort, and goes on sale often ($60-85).</t>
        </is>
      </c>
      <c r="S29" s="11" t="inlineStr">
        <is>
          <t>excellent wet-rock traction; wide size range; frequently discounted</t>
        </is>
      </c>
      <c r="T29" s="11" t="inlineStr">
        <is>
          <t>takes longer to dry than a true trail runner; heavier than UL options</t>
        </is>
      </c>
      <c r="U29" s="36" t="inlineStr">
        <is>
          <t>Lone Peak 9</t>
        </is>
      </c>
      <c r="V29" s="33" t="n">
        <v>22.5</v>
      </c>
      <c r="W29" s="34" t="n">
        <v>145</v>
      </c>
      <c r="X29" s="11" t="inlineStr">
        <is>
          <t>$60-90 lightly used on GearTrade/eBay</t>
        </is>
      </c>
      <c r="Y29" s="11" t="n">
        <v>3</v>
      </c>
      <c r="Z29" s="11" t="inlineStr">
        <is>
          <t>Best all-around pick for a trip that's equal parts hiking and standing in the creek all day</t>
        </is>
      </c>
      <c r="AA29" s="11" t="inlineStr">
        <is>
          <t>Consistently the top-worn shoe in the Halfway Anywhere PCT hiker surveys and the default r/Ultralight recommendation — zero-drop wide toe box, drains and dries fast, and the mesh handles constant wet/dry cycling from creek crossings better than any boot.</t>
        </is>
      </c>
      <c r="AB29" s="11" t="inlineStr">
        <is>
          <t>fastest drying of the three tiers; wide toe box reduces blisters from wet-sock friction; very light for the support offered</t>
        </is>
      </c>
      <c r="AC29" s="11" t="inlineStr">
        <is>
          <t>zero-drop takes adjustment if unused to it; less ankle support than a boot; only ~300-500 mi lifespan</t>
        </is>
      </c>
    </row>
    <row r="30" ht="75" customHeight="1">
      <c r="A30" s="31" t="inlineStr">
        <is>
          <t>hiking_socks</t>
        </is>
      </c>
      <c r="B30" s="10" t="inlineStr">
        <is>
          <t>Daily hiking sock (non-wading)</t>
        </is>
      </c>
      <c r="C30" s="32" t="inlineStr">
        <is>
          <t>Merino Wool Lightweight Hiking Crew (3-pack budget alt)</t>
        </is>
      </c>
      <c r="D30" s="33" t="n">
        <v>2.5</v>
      </c>
      <c r="E30" s="34" t="n">
        <v>8.83</v>
      </c>
      <c r="F30" s="11" t="inlineStr">
        <is>
          <t>n/a, buy new (socks)</t>
        </is>
      </c>
      <c r="G30" s="11" t="n">
        <v>5</v>
      </c>
      <c r="H30" s="11" t="inlineStr">
        <is>
          <t>Fine for hiking days; bring 3+ pairs since wet feet from panning need frequent changes</t>
        </is>
      </c>
      <c r="I30" s="11" t="inlineStr">
        <is>
          <t>CleverHiker and GearJunkie both flag REI Co-op merino socks as the budget favorite that still delivers real merino wicking/odor control instead of a cotton-blend sock.</t>
        </is>
      </c>
      <c r="J30" s="11" t="inlineStr">
        <is>
          <t>real merino, not cotton; cheap enough to buy several pairs</t>
        </is>
      </c>
      <c r="K30" s="11" t="inlineStr">
        <is>
          <t>shorter lifespan than Darn Tough; no lifetime warranty</t>
        </is>
      </c>
      <c r="L30" s="35" t="inlineStr">
        <is>
          <t>Hiker Micro Crew Midweight with Cushion</t>
        </is>
      </c>
      <c r="M30" s="33" t="n">
        <v>2.6</v>
      </c>
      <c r="N30" s="34" t="n">
        <v>25.95</v>
      </c>
      <c r="O30" s="11" t="inlineStr">
        <is>
          <t>n/a, buy new (socks)</t>
        </is>
      </c>
      <c r="P30" s="11" t="n">
        <v>5</v>
      </c>
      <c r="Q30" s="11" t="inlineStr">
        <is>
          <t>Ideal daily hiking sock; still needs a separate wading/neoprene layer for creek time</t>
        </is>
      </c>
      <c r="R30" s="11" t="inlineStr">
        <is>
          <t>Named the most popular sock on the PCT in Halfway Anywhere's survey data and the default r/Ultralight answer to 'what socks' — the unconditional lifetime warranty means a holed sock gets replaced free, forever.</t>
        </is>
      </c>
      <c r="S30" s="11" t="inlineStr">
        <is>
          <t>lifetime no-questions warranty; durable merino/nylon blend; good cushioning for gravel-bar kneeling</t>
        </is>
      </c>
      <c r="T30" s="11" t="inlineStr">
        <is>
          <t>$26/pair adds up for multiple pairs</t>
        </is>
      </c>
      <c r="U30" s="36" t="inlineStr">
        <is>
          <t>Waterproof All Weather Mid Length Sock</t>
        </is>
      </c>
      <c r="V30" s="33" t="n">
        <v>3.2</v>
      </c>
      <c r="W30" s="34" t="n">
        <v>55</v>
      </c>
      <c r="X30" s="11" t="inlineStr">
        <is>
          <t>$25-35 used on eBay</t>
        </is>
      </c>
      <c r="Y30" s="11" t="n">
        <v>3</v>
      </c>
      <c r="Z30" s="11" t="inlineStr">
        <is>
          <t>Best used for the hike itself, not for standing in the creek panning — pair with dedicated neoprene socks for actual panning</t>
        </is>
      </c>
      <c r="AA30" s="11" t="inlineStr">
        <is>
          <t>Backpacking and fly-fishing forums recommend waterproof membrane socks as a way to cross ankle-deep water in trail runners without soaking your feet — not a panning glove-level solution but useful for the hike in/out through wet ground.</t>
        </is>
      </c>
      <c r="AB30" s="11" t="inlineStr">
        <is>
          <t>keeps feet dry through shallow splashes/dew/mud on the trail; doubles as an extra warm layer at camp</t>
        </is>
      </c>
      <c r="AC30" s="11" t="inlineStr">
        <is>
          <t>not truly submersion-proof — will wick in over the cuff; expensive per pair; less breathable, can get clammy</t>
        </is>
      </c>
    </row>
    <row r="31" ht="75" customHeight="1">
      <c r="A31" s="31" t="inlineStr">
        <is>
          <t>rain_jacket</t>
        </is>
      </c>
      <c r="B31" s="10" t="inlineStr">
        <is>
          <t>Rain shell</t>
        </is>
      </c>
      <c r="C31" s="32" t="inlineStr">
        <is>
          <t>Watertight II Rain Jacket (Men's)</t>
        </is>
      </c>
      <c r="D31" s="33" t="n">
        <v>12</v>
      </c>
      <c r="E31" s="34" t="n">
        <v>70</v>
      </c>
      <c r="F31" s="11" t="inlineStr">
        <is>
          <t>$25-35 used/thrift</t>
        </is>
      </c>
      <c r="G31" s="11" t="n">
        <v>5</v>
      </c>
      <c r="H31" s="11" t="inlineStr">
        <is>
          <t>Real rain protection for a week of mixed hiking/creek work — sturdier and more durable than a disposable-style shell for 6 first-time backpackers who may not baby their gear</t>
        </is>
      </c>
      <c r="I31"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1" s="11" t="inlineStr">
        <is>
          <t>real waterproof/breathable membrane, not disposable nonwoven; seam-sealed, adjustable hood; durable enough to actually re-wear after this trip</t>
        </is>
      </c>
      <c r="K31" s="11" t="inlineStr">
        <is>
          <t>heavier and less packable than Frogg Toggs; not as breathable as the pricier Value/Premium shells</t>
        </is>
      </c>
      <c r="L31" s="35" t="inlineStr">
        <is>
          <t>Rainier Rain Jacket</t>
        </is>
      </c>
      <c r="M31" s="33" t="n">
        <v>12.5</v>
      </c>
      <c r="N31" s="34" t="n">
        <v>99.95</v>
      </c>
      <c r="O31" s="11" t="inlineStr">
        <is>
          <t>$40-60 on REI Re/Gear</t>
        </is>
      </c>
      <c r="P31" s="11" t="n">
        <v>4</v>
      </c>
      <c r="Q31" s="11" t="inlineStr">
        <is>
          <t>Good balance of durability and price for a week of mixed hiking/creek work</t>
        </is>
      </c>
      <c r="R31" s="11" t="inlineStr">
        <is>
          <t>Reviewers and CleverHiker consistently flag REI's own-brand rain shells as the 'bops for the price' pick — real 2.5-layer waterproof fabric, pit zips, and adjustable hood for well under $150 while name-brand equivalents run $200+.</t>
        </is>
      </c>
      <c r="S31" s="11" t="inlineStr">
        <is>
          <t>real breathable waterproof membrane, not just coated nylon; pit zips for venting; REI's 1-year satisfaction guarantee</t>
        </is>
      </c>
      <c r="T31" s="11" t="inlineStr">
        <is>
          <t>heavier than true UL shells; less packable than Frogg Toggs</t>
        </is>
      </c>
      <c r="U31" s="36" t="inlineStr">
        <is>
          <t>Helium Rain Jacket</t>
        </is>
      </c>
      <c r="V31" s="33" t="n">
        <v>6.4</v>
      </c>
      <c r="W31" s="34" t="n">
        <v>199</v>
      </c>
      <c r="X31" s="11" t="inlineStr">
        <is>
          <t>$90-130 used on GearTrade</t>
        </is>
      </c>
      <c r="Y31" s="11" t="n">
        <v>3</v>
      </c>
      <c r="Z31" s="11" t="inlineStr">
        <is>
          <t>The endgame pick if this person keeps backpacking after this trip; overkill spend for a one-off week</t>
        </is>
      </c>
      <c r="AA31" s="11" t="inlineStr">
        <is>
          <t>Treeline Review's 'Best Packable Rain Jacket' winner and a fixture in r/Ultralight rain jacket threads — 2.75-layer Pertex/Dermizax fabric hits a 20,000mm waterproof rating while staying under 6.5 oz, genuinely improving on the old Helium II.</t>
        </is>
      </c>
      <c r="AB31" s="11" t="inlineStr">
        <is>
          <t>excellent waterproofing for the weight; durable enough for years of use; packs to fist size</t>
        </is>
      </c>
      <c r="AC31" s="11" t="inlineStr">
        <is>
          <t>no pit zips on some versions; $199 is real money for a rain shell</t>
        </is>
      </c>
    </row>
    <row r="32" ht="75" customHeight="1">
      <c r="A32" s="31" t="inlineStr">
        <is>
          <t>insulated_puffy_jacket</t>
        </is>
      </c>
      <c r="B32" s="10" t="inlineStr">
        <is>
          <t>Insulated jacket, camp/cold layer</t>
        </is>
      </c>
      <c r="C32" s="32" t="inlineStr">
        <is>
          <t>MT100 Hooded Down Puffer Jacket</t>
        </is>
      </c>
      <c r="D32" s="33" t="n">
        <v>10.6</v>
      </c>
      <c r="E32" s="34" t="n">
        <v>80</v>
      </c>
      <c r="F32" s="11" t="inlineStr">
        <is>
          <t>$20-30 used</t>
        </is>
      </c>
      <c r="G32" s="11" t="n">
        <v>4</v>
      </c>
      <c r="H32" s="11" t="inlineStr">
        <is>
          <t>Usable if kept bone dry in a pack liner; a synthetic option is safer given 'rain possible' in the forecast</t>
        </is>
      </c>
      <c r="I32" s="11" t="inlineStr">
        <is>
          <t>GearJunkie gave the Forclaz MT100 an award for best-for-the-price; the community consensus is it lacks the finish and pocket details of pricier jackets but the RDS-certified down genuinely keeps you warm for a fraction of the cost.</t>
        </is>
      </c>
      <c r="J32" s="11" t="inlineStr">
        <is>
          <t>real down fill, not synthetic batting; packs small; cheapest legit puffy available</t>
        </is>
      </c>
      <c r="K32" s="11" t="inlineStr">
        <is>
          <t>down loses loft when wet — risky for a rainy GA trip; fewer features (pockets, cinches) than name brands</t>
        </is>
      </c>
      <c r="L32" s="35" t="inlineStr">
        <is>
          <t>Nano Puff Jacket</t>
        </is>
      </c>
      <c r="M32" s="33" t="n">
        <v>11.6</v>
      </c>
      <c r="N32" s="34" t="n">
        <v>118.99</v>
      </c>
      <c r="O32" s="11" t="inlineStr">
        <is>
          <t>$90-140 used/Patagonia Worn Wear, often $115-145 on sale per Slickdeals</t>
        </is>
      </c>
      <c r="P32" s="11" t="n">
        <v>4</v>
      </c>
      <c r="Q32" s="11" t="inlineStr">
        <is>
          <t>Great fit for GA's humid, rain-possible October — synthetic fill is more forgiving than down near a creek</t>
        </is>
      </c>
      <c r="R32"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2" s="11" t="inlineStr">
        <is>
          <t>synthetic fill keeps warming even if damp; tough face fabric; Patagonia repair/Worn Wear program extends life</t>
        </is>
      </c>
      <c r="T32" s="11" t="inlineStr">
        <is>
          <t>full retail ($239) is steep; heavier than down-fill options of similar warmth</t>
        </is>
      </c>
      <c r="U32" s="36" t="inlineStr">
        <is>
          <t>Torrid APEX Jacket</t>
        </is>
      </c>
      <c r="V32" s="33" t="n">
        <v>8.9</v>
      </c>
      <c r="W32" s="34" t="n">
        <v>170</v>
      </c>
      <c r="X32" s="11" t="inlineStr">
        <is>
          <t>$100-140 on r/UltralightExchange (cottage gear resells fast, prices firm)</t>
        </is>
      </c>
      <c r="Y32" s="11" t="n">
        <v>2</v>
      </c>
      <c r="Z32" s="11" t="inlineStr">
        <is>
          <t>Excellent if ordered with enough lead time; the fit/warmth genuinely suits cold creek-side mornings</t>
        </is>
      </c>
      <c r="AA32" s="11" t="inlineStr">
        <is>
          <t>Backpacking Light forum threads and Adventure Alan both call the Torrid the best warmth-to-weight synthetic puffy available, edging out even much of the down competition — a genuine cottage-industry cult favorite among thru-hikers.</t>
        </is>
      </c>
      <c r="AB32" s="11" t="inlineStr">
        <is>
          <t>best-in-class warmth per ounce; synthetic fill is damp-weather safe; cottage-made to your size/color spec</t>
        </is>
      </c>
      <c r="AC32" s="11" t="inlineStr">
        <is>
          <t>4-8 week made-to-order lead time — plan ahead or it won't arrive by Oct 15; boxy non-technical fit; no retail stores to try on</t>
        </is>
      </c>
    </row>
    <row r="33" ht="75" customHeight="1">
      <c r="A33" s="31" t="inlineStr">
        <is>
          <t>fleece_midlayer</t>
        </is>
      </c>
      <c r="B33" s="10" t="inlineStr">
        <is>
          <t>Midlayer (fleece/active insulation)</t>
        </is>
      </c>
      <c r="C33" s="32" t="inlineStr">
        <is>
          <t>MH100 Fleece</t>
        </is>
      </c>
      <c r="D33" s="33" t="n">
        <v>12</v>
      </c>
      <c r="E33" s="34" t="n">
        <v>25</v>
      </c>
      <c r="F33" s="11" t="inlineStr">
        <is>
          <t>$8-12 used/thrift</t>
        </is>
      </c>
      <c r="G33" s="11" t="n">
        <v>5</v>
      </c>
      <c r="H33" s="11" t="inlineStr">
        <is>
          <t>Perfectly adequate layered under the rain shell for low-30s/40s nights</t>
        </is>
      </c>
      <c r="I33" s="11" t="inlineStr">
        <is>
          <t>Cited across hiking-gear roundups as the best budget fleece — simple 100-weight polyester that does the job of trapping warmth for a fraction of name-brand fleece prices.</t>
        </is>
      </c>
      <c r="J33" s="11" t="inlineStr">
        <is>
          <t>cheap; warm enough for GA fall nights; widely available</t>
        </is>
      </c>
      <c r="K33" s="11" t="inlineStr">
        <is>
          <t>heavier than Alpha Direct options; bulkier to pack</t>
        </is>
      </c>
      <c r="L33" s="35" t="inlineStr">
        <is>
          <t>Alpha 90 Half-Zip Hoodie</t>
        </is>
      </c>
      <c r="M33" s="33" t="n">
        <v>4.8</v>
      </c>
      <c r="N33" s="34" t="n">
        <v>115</v>
      </c>
      <c r="O33" s="11" t="inlineStr">
        <is>
          <t>$60-80 on r/UltralightExchange</t>
        </is>
      </c>
      <c r="P33" s="11" t="n">
        <v>3</v>
      </c>
      <c r="Q33" s="11" t="inlineStr">
        <is>
          <t>Great active midlayer for cold creek mornings that warm into 50s-60s afternoons</t>
        </is>
      </c>
      <c r="R33" s="11" t="inlineStr">
        <is>
          <t>Described as 'the standard uniform of thru-hikers across the country' — Alpha Direct fabric gives huge warmth for the weight while staying breathable enough to hike in without overheating, a genuine cult favorite in r/Ultralight midlayer threads.</t>
        </is>
      </c>
      <c r="S33" s="11" t="inlineStr">
        <is>
          <t>exceptional warmth-to-weight; breathable enough to wear hiking, not just at camp; very packable</t>
        </is>
      </c>
      <c r="T33" s="11" t="inlineStr">
        <is>
          <t>cottage brand — batch drops mean it may be out of stock; snags easily on brush, less durable face fabric</t>
        </is>
      </c>
      <c r="U33" s="36" t="inlineStr">
        <is>
          <t>R1 Air Hoody</t>
        </is>
      </c>
      <c r="V33" s="33" t="n">
        <v>10.5</v>
      </c>
      <c r="W33" s="34" t="n">
        <v>179</v>
      </c>
      <c r="X33" s="11" t="inlineStr">
        <is>
          <t>$70-110 used on Patagonia Worn Wear/eBay</t>
        </is>
      </c>
      <c r="Y33" s="11" t="n">
        <v>3</v>
      </c>
      <c r="Z33" s="11" t="inlineStr">
        <is>
          <t>Well suited to a week of repeated wet/dry cycling and general durability needs</t>
        </is>
      </c>
      <c r="AA33"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3" s="11" t="inlineStr">
        <is>
          <t>excellent moisture management for sweaty creek-side work; more durable face fabric than cottage Alpha pieces; proven design, widely available</t>
        </is>
      </c>
      <c r="AC33" s="11" t="inlineStr">
        <is>
          <t>heavier than the Senchi/Alpha Direct value pick; premium price for a fleece</t>
        </is>
      </c>
    </row>
    <row r="34" ht="75" customHeight="1">
      <c r="A34" s="31" t="inlineStr">
        <is>
          <t>base_layer</t>
        </is>
      </c>
      <c r="B34" s="10" t="inlineStr">
        <is>
          <t>Base layer top + bottom, doubles as sleep layer</t>
        </is>
      </c>
      <c r="C34" s="32" t="inlineStr">
        <is>
          <t>Men's/Women's Long Sleeve Base Layer Set</t>
        </is>
      </c>
      <c r="D34" s="33" t="n">
        <v>8</v>
      </c>
      <c r="E34" s="34" t="n">
        <v>100</v>
      </c>
      <c r="F34" s="11" t="inlineStr">
        <is>
          <t>$25-35 used</t>
        </is>
      </c>
      <c r="G34" s="11" t="n">
        <v>5</v>
      </c>
      <c r="H34" s="11" t="inlineStr">
        <is>
          <t>Solid sleep-layer choice for low-30s nights, worn only in the sleeping bag, never worn wet</t>
        </is>
      </c>
      <c r="I34" s="11" t="inlineStr">
        <is>
          <t>Reviewers call Merino.tech a good compromise for budget shoppers — genuine 100% merino at roughly half the price of Icebreaker/Smartwool, though the knit is less refined.</t>
        </is>
      </c>
      <c r="J34" s="11" t="inlineStr">
        <is>
          <t>real merino, not synthetic-only; odor resistant for a multi-day trip with no laundry; doubles as sleep layer, saving pack weight</t>
        </is>
      </c>
      <c r="K34" s="11" t="inlineStr">
        <is>
          <t>less durable stitching than premium brands; limited size range</t>
        </is>
      </c>
      <c r="L34" s="35" t="inlineStr">
        <is>
          <t>Classic Thermal Merino Base Layer (top + bottom)</t>
        </is>
      </c>
      <c r="M34" s="33" t="n">
        <v>10</v>
      </c>
      <c r="N34" s="34" t="n">
        <v>125</v>
      </c>
      <c r="O34" s="11" t="inlineStr">
        <is>
          <t>$40-60 used on Smartwool/eBay</t>
        </is>
      </c>
      <c r="P34" s="11" t="n">
        <v>5</v>
      </c>
      <c r="Q34" s="11" t="inlineStr">
        <is>
          <t>A comfortable, well-tested choice for the low-30s overnight</t>
        </is>
      </c>
      <c r="R34" s="11" t="inlineStr">
        <is>
          <t>Called out repeatedly as the budget-conscious merino pick that still performs — breathable, odor-resistant across multiple wear days, and widely stocked so sizing is easy to get right before the trip.</t>
        </is>
      </c>
      <c r="S34" s="11" t="inlineStr">
        <is>
          <t>reliable fit/sizing since widely sold in stores; good warmth-to-weight for the price; doubles as sleep layer</t>
        </is>
      </c>
      <c r="T34" s="11" t="inlineStr">
        <is>
          <t>not the lightest option; $95 for a set is a real expense</t>
        </is>
      </c>
      <c r="U34" s="36" t="inlineStr">
        <is>
          <t>200 Oasis (top + bottom)</t>
        </is>
      </c>
      <c r="V34" s="33" t="n">
        <v>11</v>
      </c>
      <c r="W34" s="34" t="n">
        <v>235</v>
      </c>
      <c r="X34" s="11" t="inlineStr">
        <is>
          <t>$80-120 used</t>
        </is>
      </c>
      <c r="Y34" s="11" t="n">
        <v>3</v>
      </c>
      <c r="Z34" s="11" t="inlineStr">
        <is>
          <t>Comfortable overkill; nice if already own it, hard to justify buying new for one trip</t>
        </is>
      </c>
      <c r="AA34" s="11" t="inlineStr">
        <is>
          <t>Reviewers describe the 200 Oasis as sitting in the sweet spot between too-thin-to-be-warm and too-heavy-to-layer, with 18.9-micron merino that's noticeably softer than budget options straight out of the bag — a favorite dedicated hiking-and-sleeping base layer.</t>
        </is>
      </c>
      <c r="AB34" s="11" t="inlineStr">
        <is>
          <t>softest merino of the three tiers; excellent odor resistance over a no-laundry week; versatile enough to double as a light hiking layer on cold mornings</t>
        </is>
      </c>
      <c r="AC34" s="11" t="inlineStr">
        <is>
          <t>expensive for what is essentially sleepwear; overkill for a single week-long trip</t>
        </is>
      </c>
    </row>
    <row r="35" ht="75" customHeight="1">
      <c r="A35" s="31" t="inlineStr">
        <is>
          <t>hiking_pants</t>
        </is>
      </c>
      <c r="B35" s="10" t="inlineStr">
        <is>
          <t>Hiking pants (worn, quick-dry, no cotton)</t>
        </is>
      </c>
      <c r="C35" s="32" t="inlineStr">
        <is>
          <t>Trailmade Pants</t>
        </is>
      </c>
      <c r="D35" s="33" t="n">
        <v>11</v>
      </c>
      <c r="E35" s="34" t="n">
        <v>80</v>
      </c>
      <c r="F35" s="11" t="inlineStr">
        <is>
          <t>$25-35 on REI Re/Gear</t>
        </is>
      </c>
      <c r="G35" s="11" t="n">
        <v>5</v>
      </c>
      <c r="H35" s="11" t="inlineStr">
        <is>
          <t>Fine for daily creek kneeling and the overnight hike; dries overnight by the fire</t>
        </is>
      </c>
      <c r="I35" s="11" t="inlineStr">
        <is>
          <t>Named a best budget option by REI's own staff picks and repeated in gear roundups — nylon/spandex blend dries fast and holds up to brush and gravel-bar kneeling without the $90+ price of the Ferrosi.</t>
        </is>
      </c>
      <c r="J35" s="11" t="inlineStr">
        <is>
          <t>quick-dry nylon, not cotton; good price for real hiking-pant fabric; available in many sizes/inseams at REI</t>
        </is>
      </c>
      <c r="K35" s="11" t="inlineStr">
        <is>
          <t>less stretch than the Ferrosi; fewer pockets</t>
        </is>
      </c>
      <c r="L35" s="35" t="inlineStr">
        <is>
          <t>Ferrosi Pants</t>
        </is>
      </c>
      <c r="M35" s="33" t="n">
        <v>11.4</v>
      </c>
      <c r="N35" s="34" t="n">
        <v>110</v>
      </c>
      <c r="O35" s="11" t="inlineStr">
        <is>
          <t>$40-55 used on GearTrade</t>
        </is>
      </c>
      <c r="P35" s="11" t="n">
        <v>4</v>
      </c>
      <c r="Q35" s="11" t="inlineStr">
        <is>
          <t>Great fit for a trip mixing hiking, creek kneeling, and gravel-bar scrambling</t>
        </is>
      </c>
      <c r="R35" s="11" t="inlineStr">
        <is>
          <t>Named the best overall men's/women's hiking pant across OutdoorGearLab and Wildland Trekking guides — stretchy woven nylon that moves well for scrambling creek banks and dries quickly after a splash.</t>
        </is>
      </c>
      <c r="S35" s="11" t="inlineStr">
        <is>
          <t>best-in-class stretch and mobility for kneeling/scrambling; durable ripstop fabric; dries fast</t>
        </is>
      </c>
      <c r="T35" s="11" t="inlineStr">
        <is>
          <t>pricier than the Trailmade; not insulated for cold mornings alone</t>
        </is>
      </c>
      <c r="U35" s="36" t="inlineStr">
        <is>
          <t>Stretch Zion Straight Pants (cargo version discontinued, replaced by current lineup)</t>
        </is>
      </c>
      <c r="V35" s="33" t="n">
        <v>14</v>
      </c>
      <c r="W35" s="34" t="n">
        <v>98</v>
      </c>
      <c r="X35" s="11" t="inlineStr">
        <is>
          <t>$50-70 used on Poshmark/eBay</t>
        </is>
      </c>
      <c r="Y35" s="11" t="n">
        <v>4</v>
      </c>
      <c r="Z35" s="11" t="inlineStr">
        <is>
          <t>Excellent for repeated kneeling on gravel bars over multiple days</t>
        </is>
      </c>
      <c r="AA35"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5" s="11" t="inlineStr">
        <is>
          <t>most durable/abrasion-resistant of the three tiers; cargo pockets useful for vials/tools in the field; DWR finish sheds light rain and splashes</t>
        </is>
      </c>
      <c r="AC35" s="11" t="inlineStr">
        <is>
          <t>heaviest of the three options; premium price for pants</t>
        </is>
      </c>
    </row>
    <row r="36" ht="75" customHeight="1">
      <c r="A36" s="31" t="inlineStr">
        <is>
          <t>sun_warm_hat_beanie</t>
        </is>
      </c>
      <c r="B36" s="10" t="inlineStr">
        <is>
          <t>Warm hat / beanie (layered under blaze orange as needed)</t>
        </is>
      </c>
      <c r="C36" s="32" t="inlineStr">
        <is>
          <t>Fleece-lined knit beanie</t>
        </is>
      </c>
      <c r="D36" s="33" t="n">
        <v>2</v>
      </c>
      <c r="E36" s="34" t="n">
        <v>14.99</v>
      </c>
      <c r="F36" s="11" t="inlineStr">
        <is>
          <t>$2-5 thrift</t>
        </is>
      </c>
      <c r="G36" s="11" t="n">
        <v>5</v>
      </c>
      <c r="H36" s="11" t="inlineStr">
        <is>
          <t>Good camp/sleep hat; wear the blaze-orange hat (separate category) while actively moving in the woods during hunting season</t>
        </is>
      </c>
      <c r="I36" s="11" t="inlineStr">
        <is>
          <t>A basic fleece-lined beanie covers cold-morning warmth needs for the price of a coffee; no community debate here — it's a solved, cheap problem.</t>
        </is>
      </c>
      <c r="J36" s="11" t="inlineStr">
        <is>
          <t>cheap; warm enough for low-30s nights under a hood</t>
        </is>
      </c>
      <c r="K36" s="11" t="inlineStr">
        <is>
          <t>bulkier/heavier than technical fleece options; not blaze orange — pair with the separate hunting-orange hat during daylight hours in the field</t>
        </is>
      </c>
      <c r="L36" s="35" t="inlineStr">
        <is>
          <t>Alpha Drifter Beanie</t>
        </is>
      </c>
      <c r="M36" s="33" t="n">
        <v>0.7</v>
      </c>
      <c r="N36" s="34" t="n">
        <v>38</v>
      </c>
      <c r="O36" s="11" t="inlineStr">
        <is>
          <t>$15-20 used on r/UltralightExchange</t>
        </is>
      </c>
      <c r="P36" s="11" t="n">
        <v>4</v>
      </c>
      <c r="Q36" s="11" t="inlineStr">
        <is>
          <t>Great choice for layering under a jacket hood on cold mornings at the creek</t>
        </is>
      </c>
      <c r="R36" s="11" t="inlineStr">
        <is>
          <t>Repeatedly named the top ultralight warm-hat pick in r/Ultralight gear threads — Alpha Direct has the best warmth-to-weight and dries almost instantly if it gets damp from sweat or rain.</t>
        </is>
      </c>
      <c r="S36" s="11" t="inlineStr">
        <is>
          <t>remarkably warm for well under an ounce; dries almost instantly; packs to nothing</t>
        </is>
      </c>
      <c r="T36" s="11" t="inlineStr">
        <is>
          <t>cottage brand, limited stock; not windproof on its own</t>
        </is>
      </c>
      <c r="U36" s="36" t="inlineStr">
        <is>
          <t>Merino 250 Reversible Cuffed Beanie</t>
        </is>
      </c>
      <c r="V36" s="33" t="n">
        <v>2.1</v>
      </c>
      <c r="W36" s="34" t="n">
        <v>35</v>
      </c>
      <c r="X36" s="11" t="inlineStr">
        <is>
          <t>$15-20 used</t>
        </is>
      </c>
      <c r="Y36" s="11" t="n">
        <v>5</v>
      </c>
      <c r="Z36" s="11" t="inlineStr">
        <is>
          <t>Solid, no-fuss choice; the value tier is the better weight-to-warmth buy for this trip</t>
        </is>
      </c>
      <c r="AA36" s="11" t="inlineStr">
        <is>
          <t>A widely-stocked, well-reviewed merino beanie option that combines warmth, odor resistance over a no-laundry week, and durability that outlasts synthetic budget hats.</t>
        </is>
      </c>
      <c r="AB36" s="11" t="inlineStr">
        <is>
          <t>merino resists odor over a week without washing; durable, widely available for easy pre-trip sizing</t>
        </is>
      </c>
      <c r="AC36" s="11" t="inlineStr">
        <is>
          <t>heavier and pricier than the Alpha Direct value pick, without a large warmth advantage</t>
        </is>
      </c>
    </row>
    <row r="37" ht="75" customHeight="1">
      <c r="A37" s="31" t="inlineStr">
        <is>
          <t>light_gloves</t>
        </is>
      </c>
      <c r="B37" s="10" t="inlineStr">
        <is>
          <t>Light liner gloves for cold mornings/hiking (not panning gloves)</t>
        </is>
      </c>
      <c r="C37" s="32" t="inlineStr">
        <is>
          <t>Wool Fleece-Liner Knit Gloves (3-pack)</t>
        </is>
      </c>
      <c r="D37" s="33" t="n">
        <v>2</v>
      </c>
      <c r="E37" s="34" t="n">
        <v>12.99</v>
      </c>
      <c r="F37" s="11" t="inlineStr">
        <is>
          <t>$2-4 thrift</t>
        </is>
      </c>
      <c r="G37" s="11" t="n">
        <v>5</v>
      </c>
      <c r="H37" s="11" t="inlineStr">
        <is>
          <t>Good for the hike and camp chores; switch to the dedicated waterproof panning gloves for creek work</t>
        </is>
      </c>
      <c r="I37" s="11" t="inlineStr">
        <is>
          <t>A basic knit or fleece glove is the standard 'good enough' answer in hiking gear guides for cold-morning hand warmth away from the water.</t>
        </is>
      </c>
      <c r="J37" s="11" t="inlineStr">
        <is>
          <t>cheap; fine for camp/hiking warmth</t>
        </is>
      </c>
      <c r="K37" s="11" t="inlineStr">
        <is>
          <t>not touchscreen compatible; soak through if it rains</t>
        </is>
      </c>
      <c r="L37" s="35" t="inlineStr">
        <is>
          <t>PL 400 Gloves</t>
        </is>
      </c>
      <c r="M37" s="33" t="n">
        <v>2.3</v>
      </c>
      <c r="N37" s="34" t="n">
        <v>35</v>
      </c>
      <c r="O37" s="11" t="inlineStr">
        <is>
          <t>$12-18 used</t>
        </is>
      </c>
      <c r="P37" s="11" t="n">
        <v>4</v>
      </c>
      <c r="Q37" s="11" t="inlineStr">
        <is>
          <t>Good camp/hiking glove for cold mornings; not for hands-in-water panning</t>
        </is>
      </c>
      <c r="R37" s="11" t="inlineStr">
        <is>
          <t>A commonly recommended cold-weather liner glove in backpacking gear guides — warmer and more wind-resistant than basic knit gloves while staying light and packable.</t>
        </is>
      </c>
      <c r="S37" s="11" t="inlineStr">
        <is>
          <t>good warmth-to-weight; wind-resistant fleece face</t>
        </is>
      </c>
      <c r="T37" s="11" t="inlineStr">
        <is>
          <t>not waterproof — still soaks through in rain</t>
        </is>
      </c>
      <c r="U37" s="36" t="inlineStr">
        <is>
          <t>Merino/Possum Blend Gloves (touchscreen)</t>
        </is>
      </c>
      <c r="V37" s="33" t="n">
        <v>1.5</v>
      </c>
      <c r="W37" s="34" t="n">
        <v>40</v>
      </c>
      <c r="X37" s="11" t="inlineStr">
        <is>
          <t>$20-25 used</t>
        </is>
      </c>
      <c r="Y37" s="11" t="n">
        <v>3</v>
      </c>
      <c r="Z37" s="11" t="inlineStr">
        <is>
          <t>Nice-to-have upgrade, not necessary for this trip — the value tier does the job</t>
        </is>
      </c>
      <c r="AA37" s="11" t="inlineStr">
        <is>
          <t>Cited in hiking-gear roundups as a premium warmth-to-weight option using New Zealand possum fur/merino blends, with touchscreen-compatible fingertips as a nice bonus for map apps.</t>
        </is>
      </c>
      <c r="AB37" s="11" t="inlineStr">
        <is>
          <t>exceptional warmth for the weight; touchscreen fingertips</t>
        </is>
      </c>
      <c r="AC37" s="11" t="inlineStr">
        <is>
          <t>hard to find/import in the US; expensive for a liner glove; still not waterproof</t>
        </is>
      </c>
    </row>
    <row r="38" ht="75" customHeight="1">
      <c r="A38" s="31" t="inlineStr">
        <is>
          <t>blaze_orange_hat_vest</t>
        </is>
      </c>
      <c r="B38" s="10" t="inlineStr">
        <is>
          <t>Required hunter-visibility gear (deer season)</t>
        </is>
      </c>
      <c r="C38" s="32" t="inlineStr">
        <is>
          <t>Mesh Safety Vest + Blaze Orange Insulated Beanie</t>
        </is>
      </c>
      <c r="D38" s="33" t="n">
        <v>6</v>
      </c>
      <c r="E38" s="34" t="n">
        <v>16.96</v>
      </c>
      <c r="F38" s="11" t="inlineStr">
        <is>
          <t>n/a, cheap enough to buy new</t>
        </is>
      </c>
      <c r="G38" s="11" t="n">
        <v>5</v>
      </c>
      <c r="H38" s="11" t="inlineStr">
        <is>
          <t>Fully adequate — visibility is the only requirement, not warmth or durability</t>
        </is>
      </c>
      <c r="I38" s="11" t="inlineStr">
        <is>
          <t>This exact combo (mesh vest $11.99 + insulated beanie $4.97) is the standard cheap solution hunters and hikers alike use to meet blaze-orange visibility requirements without real cost.</t>
        </is>
      </c>
      <c r="J38" s="11" t="inlineStr">
        <is>
          <t>meets GA hunter-orange requirement cheaply; beanie doubles as warm hat</t>
        </is>
      </c>
      <c r="K38" s="11" t="inlineStr">
        <is>
          <t>mesh vest is thin, minimal wind protection; basic construction</t>
        </is>
      </c>
      <c r="L38" s="35" t="inlineStr">
        <is>
          <t>Blaze Orange Safety Vest</t>
        </is>
      </c>
      <c r="M38" s="33" t="n">
        <v>5</v>
      </c>
      <c r="N38" s="34" t="n">
        <v>13.51</v>
      </c>
      <c r="O38" s="11" t="inlineStr">
        <is>
          <t>n/a, cheap enough to buy new</t>
        </is>
      </c>
      <c r="P38" s="11" t="n">
        <v>5</v>
      </c>
      <c r="Q38" s="11" t="inlineStr">
        <is>
          <t>Good, simple compliance solution</t>
        </is>
      </c>
      <c r="R38" s="11" t="inlineStr">
        <is>
          <t>A step up in build quality from the cheapest mesh vest for barely more money — already the pick in the project's existing base gear list, and a common budget-hunter recommendation for adequate coverage.</t>
        </is>
      </c>
      <c r="S38" s="11" t="inlineStr">
        <is>
          <t>sturdier than the bare mesh vest; cheap</t>
        </is>
      </c>
      <c r="T38" s="11" t="inlineStr">
        <is>
          <t>still basic, no pockets/features</t>
        </is>
      </c>
      <c r="U38" s="36" t="inlineStr">
        <is>
          <t>Blaze Orange Hunting Vest &amp; Hat Combo</t>
        </is>
      </c>
      <c r="V38" s="33" t="n">
        <v>10</v>
      </c>
      <c r="W38" s="34" t="n">
        <v>45</v>
      </c>
      <c r="X38" s="11" t="inlineStr">
        <is>
          <t>$20-25 used</t>
        </is>
      </c>
      <c r="Y38" s="11" t="n">
        <v>4</v>
      </c>
      <c r="Z38" s="11" t="inlineStr">
        <is>
          <t>Nice if it'll get reused for actual hunting later; overkill just for hiking visibility</t>
        </is>
      </c>
      <c r="AA38" s="11" t="inlineStr">
        <is>
          <t>A well-reviewed combo that pairs a structured vest with a matching hat and is designed to meet most states' hunter-orange coverage requirements in one purchase, with more pockets and better fabric than the budget mesh option.</t>
        </is>
      </c>
      <c r="AB38" s="11" t="inlineStr">
        <is>
          <t>more durable fabric and pockets than budget options; matched hat+vest set simplifies compliance</t>
        </is>
      </c>
      <c r="AC38" s="11" t="inlineStr">
        <is>
          <t>unnecessary spend for a single week's use</t>
        </is>
      </c>
    </row>
    <row r="39" ht="75" customHeight="1">
      <c r="A39" s="31" t="inlineStr">
        <is>
          <t>camp_shoes</t>
        </is>
      </c>
      <c r="B39" s="10" t="inlineStr">
        <is>
          <t>Camp shoes (post-panning, around camp)</t>
        </is>
      </c>
      <c r="C39" s="32" t="inlineStr">
        <is>
          <t>Old sneakers or flip-flops already owned</t>
        </is>
      </c>
      <c r="D39" s="33" t="n">
        <v>10</v>
      </c>
      <c r="E39" s="34" t="n">
        <v>0</v>
      </c>
      <c r="F39" s="11" t="inlineStr">
        <is>
          <t>$0 (already owned)</t>
        </is>
      </c>
      <c r="G39" s="11" t="n">
        <v>5</v>
      </c>
      <c r="H39" s="11" t="inlineStr">
        <is>
          <t>Fine for base camp evenings around the fire once panning is done for the day</t>
        </is>
      </c>
      <c r="I39" s="11" t="inlineStr">
        <is>
          <t>Ultralight backpackers most often skip a dedicated camp shoe entirely and reuse something already owned — a second pair of shoes rarely 'makes the cut' for weight-conscious hikers, per Bikepacking.com's ultralight camp shoe roundup.</t>
        </is>
      </c>
      <c r="J39" s="11" t="inlineStr">
        <is>
          <t>free; zero extra pack weight if skipped or repurposed</t>
        </is>
      </c>
      <c r="K39" s="11" t="inlineStr">
        <is>
          <t>no dedicated traction/support for wet rocks; won't dry as fast as purpose-built options</t>
        </is>
      </c>
      <c r="L39" s="35" t="inlineStr">
        <is>
          <t>Classic Clog</t>
        </is>
      </c>
      <c r="M39" s="33" t="n">
        <v>14</v>
      </c>
      <c r="N39" s="34" t="n">
        <v>50</v>
      </c>
      <c r="O39" s="11" t="inlineStr">
        <is>
          <t>$15-25 used/thrift</t>
        </is>
      </c>
      <c r="P39" s="11" t="n">
        <v>5</v>
      </c>
      <c r="Q39" s="11" t="inlineStr">
        <is>
          <t>Good for letting panning feet dry out and breathe at camp each evening</t>
        </is>
      </c>
      <c r="R39" s="11" t="inlineStr">
        <is>
          <t>A long-running backpacker favorite for camp/stream crossings — reviewers who initially mocked them 'found themselves reaching for them again and again' for toe protection and quick on/off at camp.</t>
        </is>
      </c>
      <c r="S39" s="11" t="inlineStr">
        <is>
          <t>toe and heel protection unlike sandals; easy on/off at the tent; can be worn wet without damage</t>
        </is>
      </c>
      <c r="T39" s="11" t="inlineStr">
        <is>
          <t>14 oz is heavy by UL camp-shoe standards; bulky in a pack</t>
        </is>
      </c>
      <c r="U39" s="36" t="inlineStr">
        <is>
          <t>Cairn Evo Adventure Sandals (current lineup; original Cairn Adventure Sandal discontinued)</t>
        </is>
      </c>
      <c r="V39" s="33" t="n">
        <v>11</v>
      </c>
      <c r="W39" s="34" t="n">
        <v>115</v>
      </c>
      <c r="X39" s="11" t="inlineStr">
        <is>
          <t>$50-70 used on GearTrade</t>
        </is>
      </c>
      <c r="Y39" s="11" t="n">
        <v>3</v>
      </c>
      <c r="Z39" s="11" t="inlineStr">
        <is>
          <t>Excellent if this person will keep doing water-heavy trips; not essential just for this one</t>
        </is>
      </c>
      <c r="AA39" s="11" t="inlineStr">
        <is>
          <t>Adventure Alan and other UL sandal guides call sport sandals like the Cairn a favorite for water-heavy trips since they drain instantly, unlike Crocs, and have a real adjustable strap system for security on uneven creek gravel.</t>
        </is>
      </c>
      <c r="AB39" s="11" t="inlineStr">
        <is>
          <t>drains instantly, no water pooling like Crocs; secure strap system for uneven terrain; doubles as an emergency creek shoe if the primary pair fails</t>
        </is>
      </c>
      <c r="AC39" s="11" t="inlineStr">
        <is>
          <t>no toe protection like Crocs; pricier than needed for a one-week trip</t>
        </is>
      </c>
    </row>
    <row r="40" ht="75" customHeight="1">
      <c r="A40" s="31" t="inlineStr">
        <is>
          <t>insulated_waterproof_gloves</t>
        </is>
      </c>
      <c r="B40" s="10" t="inlineStr">
        <is>
          <t>Insulated waterproof gloves for hands-in-50F-water panning</t>
        </is>
      </c>
      <c r="C40" s="32" t="inlineStr">
        <is>
          <t>Kenai Original</t>
        </is>
      </c>
      <c r="D40" s="33" t="n">
        <v>4</v>
      </c>
      <c r="E40" s="34" t="n">
        <v>24.99</v>
      </c>
      <c r="F40" s="11" t="inlineStr">
        <is>
          <t>n/a, cheap enough to buy new</t>
        </is>
      </c>
      <c r="G40" s="11" t="n">
        <v>5</v>
      </c>
      <c r="H40" s="11" t="inlineStr">
        <is>
          <t>Good for 50°F creek water if you avoid submerging past the cuff — bring a dry backup pair per person</t>
        </is>
      </c>
      <c r="I40" s="11" t="inlineStr">
        <is>
          <t>Jordan's pick 2026-09-23: 35-year standard for cold fly-fishing, 2mm fleece-lined neoprene with a sharkskin palm -- chose dexterity (feel the pan, pick gravel) over staying bone-dry.</t>
        </is>
      </c>
      <c r="J40" s="11" t="inlineStr">
        <is>
          <t>genuinely warm — designed for commercial cold-water fish work; cheap; widely available</t>
        </is>
      </c>
      <c r="K40" s="11" t="inlineStr">
        <is>
          <t>12" gauntlet only, water can pour in over the top if you reach deep; less dexterity than a dedicated panning glove</t>
        </is>
      </c>
      <c r="L40" s="35" t="inlineStr">
        <is>
          <t>Kenai Original</t>
        </is>
      </c>
      <c r="M40" s="33" t="n">
        <v>4</v>
      </c>
      <c r="N40" s="34" t="n">
        <v>24.99</v>
      </c>
      <c r="O40" s="11" t="inlineStr">
        <is>
          <t>n/a, cheap enough to buy new</t>
        </is>
      </c>
      <c r="P40" s="11" t="n">
        <v>5</v>
      </c>
      <c r="Q40" s="11" t="inlineStr">
        <is>
          <t>A solid dedicated panning glove for daily creek sessions over the whole trip</t>
        </is>
      </c>
      <c r="R40" s="11" t="inlineStr">
        <is>
          <t>Jordan's pick 2026-09-23: 35-year standard for cold fly-fishing, 2mm fleece-lined neoprene with a sharkskin palm -- chose dexterity (feel the pan, pick gravel) over staying bone-dry.</t>
        </is>
      </c>
      <c r="S40" s="11" t="inlineStr">
        <is>
          <t>longer gauntlet than the Atlas 620 reduces water intrusion when reaching deep; roomy enough to layer a liner glove underneath for extra warmth; marketed and reviewed specifically for gold panning</t>
        </is>
      </c>
      <c r="T40" s="11" t="inlineStr">
        <is>
          <t>still not insulated on its own — needs a liner glove in genuinely cold water; textured grip wears down over a season</t>
        </is>
      </c>
      <c r="U40" s="36" t="inlineStr">
        <is>
          <t>Arctic Gauntlet Gloves for Cold Water Wading</t>
        </is>
      </c>
      <c r="V40" s="33" t="n">
        <v>9</v>
      </c>
      <c r="W40" s="34" t="n">
        <v>50</v>
      </c>
      <c r="X40" s="11" t="inlineStr">
        <is>
          <t>$25-35 used</t>
        </is>
      </c>
      <c r="Y40" s="11" t="n">
        <v>4</v>
      </c>
      <c r="Z40" s="11" t="inlineStr">
        <is>
          <t>The most dedicated option for daily hours-long panning sessions in 50°F water; arguably more glove than this trip strictly needs</t>
        </is>
      </c>
      <c r="AA40"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40" s="11" t="inlineStr">
        <is>
          <t>purpose-built for cold-water prospecting specifically, not repurposed work gear; arm-length gauntlet handles deeper reaches without flooding; roomy fit for liner gloves in genuinely cold conditions</t>
        </is>
      </c>
      <c r="AC40" s="11" t="inlineStr">
        <is>
          <t>priciest of the three tiers; bulkier, less dexterity for fine cleanup work</t>
        </is>
      </c>
    </row>
    <row r="41" ht="75" customHeight="1">
      <c r="A41" s="31" t="inlineStr">
        <is>
          <t>neoprene_socks_wading</t>
        </is>
      </c>
      <c r="B41" s="10" t="inlineStr">
        <is>
          <t>Neoprene socks for feet in 50F creek water</t>
        </is>
      </c>
      <c r="C41" s="32" t="inlineStr">
        <is>
          <t>3mm Knee-High Neoprene Sock</t>
        </is>
      </c>
      <c r="D41" s="33" t="n">
        <v>6</v>
      </c>
      <c r="E41" s="34" t="n">
        <v>41.59</v>
      </c>
      <c r="F41" s="11" t="inlineStr">
        <is>
          <t>n/a, cheap enough to buy new</t>
        </is>
      </c>
      <c r="G41" s="11" t="n">
        <v>5</v>
      </c>
      <c r="H41" s="11" t="inlineStr">
        <is>
          <t>Works for daily panning if paired with warm-up breaks; wear inside old sneakers/water shoes, not boots</t>
        </is>
      </c>
      <c r="I41" s="11" t="inlineStr">
        <is>
          <t>Standard budget 3mm neoprene sock used by anglers and prospectors alike for cold-water wading — already the pick in the project's existing gear.md and a common recommendation on wading/fishing forums as 'good enough' for shoulder-season water temps.</t>
        </is>
      </c>
      <c r="J41" s="11" t="inlineStr">
        <is>
          <t>cheap; adequate warmth for ~50°F water in short-to-medium sessions</t>
        </is>
      </c>
      <c r="K41" s="11" t="inlineStr">
        <is>
          <t>3mm is thinner than dedicated cold-water fishing socks; seams can chafe over a full week of daily use</t>
        </is>
      </c>
      <c r="L41" s="35" t="inlineStr">
        <is>
          <t>3mm Neoprene Wading/Water Socks</t>
        </is>
      </c>
      <c r="M41" s="33" t="n">
        <v>6.5</v>
      </c>
      <c r="N41" s="34" t="n">
        <v>30.19</v>
      </c>
      <c r="O41" s="11" t="inlineStr">
        <is>
          <t>$12-18 used</t>
        </is>
      </c>
      <c r="P41" s="11" t="n">
        <v>5</v>
      </c>
      <c r="Q41" s="11" t="inlineStr">
        <is>
          <t>A comfortable everyday choice for repeated creek sessions across the whole week</t>
        </is>
      </c>
      <c r="R41" s="11" t="inlineStr">
        <is>
          <t>A step up in stitching and fit quality from generic neoprene socks at a similar price point, commonly recommended in wading/diving gear guides as the sweet spot between cost and comfort for repeated cold-water use.</t>
        </is>
      </c>
      <c r="S41" s="11" t="inlineStr">
        <is>
          <t>better seam construction reduces chafing over multiple days; glued-and-blind-stitched seams keep more water out than basic models</t>
        </is>
      </c>
      <c r="T41" s="11" t="inlineStr">
        <is>
          <t>still 3mm — not as warm as thicker premium options</t>
        </is>
      </c>
      <c r="U41" s="36" t="inlineStr">
        <is>
          <t>I-Drain Neoprene Guard Socks, 3.5mm</t>
        </is>
      </c>
      <c r="V41" s="33" t="n">
        <v>7</v>
      </c>
      <c r="W41" s="34" t="n">
        <v>44.99</v>
      </c>
      <c r="X41" s="11" t="inlineStr">
        <is>
          <t>$20-28 used</t>
        </is>
      </c>
      <c r="Y41" s="11" t="n">
        <v>4</v>
      </c>
      <c r="Z41" s="11" t="inlineStr">
        <is>
          <t>The warmest, most durable option for hours of daily hands-and-feet-in-water panning</t>
        </is>
      </c>
      <c r="AA41" s="11" t="inlineStr">
        <is>
          <t>A fly-fishing-industry standard sock built for exactly this use case — thicker 3.5mm neoprene plus a built-in drain system to shed water faster between dips, popular with guides who stand in cold water all day for a living.</t>
        </is>
      </c>
      <c r="AB41" s="11" t="inlineStr">
        <is>
          <t>thicker neoprene than the budget/value tiers for more warmth; drain design sheds water fast between panning dips; built by a wading-specific brand, proven durability</t>
        </is>
      </c>
      <c r="AC41" s="11" t="inlineStr">
        <is>
          <t>priciest of the three options; slightly bulkier fit inside water shoes</t>
        </is>
      </c>
    </row>
    <row r="42" ht="75" customHeight="1">
      <c r="A42" s="31" t="inlineStr">
        <is>
          <t>waders_vs_none</t>
        </is>
      </c>
      <c r="B42" s="10" t="inlineStr">
        <is>
          <t>Waders decision for cold-water panning</t>
        </is>
      </c>
      <c r="C42" s="32" t="inlineStr">
        <is>
          <t>No waders — neoprene socks + quick-dry pants only</t>
        </is>
      </c>
      <c r="D42" s="33" t="n">
        <v>0</v>
      </c>
      <c r="E42" s="34" t="n">
        <v>0</v>
      </c>
      <c r="F42" s="11" t="inlineStr">
        <is>
          <t>n/a</t>
        </is>
      </c>
      <c r="G42" s="11" t="n">
        <v>5</v>
      </c>
      <c r="H42" s="11" t="inlineStr">
        <is>
          <t>The community-recommended default for this trip's shin-deep hand-panning — Chattahoochee NF rules (hand pan + trowel only, no bank digging) mean you're never in deep water anyway</t>
        </is>
      </c>
      <c r="I42"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2" s="11" t="inlineStr">
        <is>
          <t>zero extra cost or pack weight; maximum mobility for kneeling/scooping; nothing extra to dry or pack out</t>
        </is>
      </c>
      <c r="K42" s="11" t="inlineStr">
        <is>
          <t>knees/thighs of pants get wet if kneeling in the flow; requires a full dry-clothes change after each session</t>
        </is>
      </c>
      <c r="L42" s="35" t="inlineStr">
        <is>
          <t>Canyon II Stockingfoot Hip Wader, Medium (needs separate wading shoe)</t>
        </is>
      </c>
      <c r="M42" s="33" t="n">
        <v>20</v>
      </c>
      <c r="N42" s="34" t="n">
        <v>98.29000000000001</v>
      </c>
      <c r="O42" s="11" t="inlineStr">
        <is>
          <t>n/a, cheap enough to buy new</t>
        </is>
      </c>
      <c r="P42" s="11" t="n">
        <v>3</v>
      </c>
      <c r="Q42" s="11" t="inlineStr">
        <is>
          <t>Only worth bringing to base camp (car-supported), not on the 3-5 mi overnight hike — skip for the backcountry leg entirely</t>
        </is>
      </c>
      <c r="R42" s="11" t="inlineStr">
        <is>
          <t>Breathable upgrade over the rubber/PVC Hodgman pick -- highest-rated breathable hip wader at this size, and hip height already exceeds what shin-deep hand-panning needs. Needs a separate wading shoe (not bundled).</t>
        </is>
      </c>
      <c r="S42" s="11" t="inlineStr">
        <is>
          <t>keeps legs fully dry in deeper water; cheap for what they are</t>
        </is>
      </c>
      <c r="T42" s="11" t="inlineStr">
        <is>
          <t>bulky to pack for the backcountry overnight leg; neoprene isn't breathable, gets clammy while hiking in; not needed for CNF-legal hand panning in shallow water</t>
        </is>
      </c>
      <c r="U42" s="36" t="inlineStr">
        <is>
          <t>Tributary Stockingfoot Waders</t>
        </is>
      </c>
      <c r="V42" s="33" t="n">
        <v>38</v>
      </c>
      <c r="W42" s="34" t="n">
        <v>300</v>
      </c>
      <c r="X42" s="11" t="inlineStr">
        <is>
          <t>$80-110 used on eBay</t>
        </is>
      </c>
      <c r="Y42" s="11" t="n">
        <v>2</v>
      </c>
      <c r="Z42" s="11" t="inlineStr">
        <is>
          <t>Not recommended for this trip's use case — panning here doesn't require standing in deep water, so this is spend without real benefit</t>
        </is>
      </c>
      <c r="AA42"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2" s="11" t="inlineStr">
        <is>
          <t>breathable fabric avoids the clamminess of neoprene hip waders; full chest coverage for any water depth; durable, well-supported brand</t>
        </is>
      </c>
      <c r="AC42" s="11" t="inlineStr">
        <is>
          <t>expensive and heavy for gear that's arguably unnecessary for shallow hand-panning; packs bulky for the backcountry hike</t>
        </is>
      </c>
    </row>
    <row r="43" ht="75" customHeight="1">
      <c r="A43" s="31" t="inlineStr">
        <is>
          <t>knee_pads</t>
        </is>
      </c>
      <c r="B43" s="10" t="inlineStr">
        <is>
          <t>Knee protection for kneeling on wet gravel bars</t>
        </is>
      </c>
      <c r="C43" s="32" t="inlineStr">
        <is>
          <t>Protective Knee Pads, Thick Sponge Anti-Slip Knee Sleeve</t>
        </is>
      </c>
      <c r="D43" s="33" t="n">
        <v>6</v>
      </c>
      <c r="E43" s="34" t="n">
        <v>15.99</v>
      </c>
      <c r="F43" s="11" t="inlineStr">
        <is>
          <t>n/a, cheap enough to buy new</t>
        </is>
      </c>
      <c r="G43" s="11" t="n">
        <v>4</v>
      </c>
      <c r="H43" s="11" t="inlineStr">
        <is>
          <t>Good enough for occasional kneeling breaks between standing-and-panning stretches</t>
        </is>
      </c>
      <c r="I43" s="11" t="inlineStr">
        <is>
          <t>Jordan's pick 2026-09-23, replacing the flat foam gardening pad research flagged as not moving with you on uneven creek rock -- a strap-on sleeve that stays on through repeated kneel/reposition.</t>
        </is>
      </c>
      <c r="J43" s="11" t="inlineStr">
        <is>
          <t>cheap; closed-cell foam won't soak up cold creek water like open foam</t>
        </is>
      </c>
      <c r="K43" s="11" t="inlineStr">
        <is>
          <t>rubber straps can dig in/cut circulation over long sessions; less durable than gel or strap-adjustable options</t>
        </is>
      </c>
      <c r="L43" s="35" t="inlineStr">
        <is>
          <t>Neoprene Strap-On Knee Pads (gardening/volleyball style)</t>
        </is>
      </c>
      <c r="M43" s="33" t="n">
        <v>8</v>
      </c>
      <c r="N43" s="34" t="n">
        <v>16</v>
      </c>
      <c r="O43" s="11" t="inlineStr">
        <is>
          <t>$6-10 used</t>
        </is>
      </c>
      <c r="P43" s="11" t="n">
        <v>5</v>
      </c>
      <c r="Q43" s="11" t="inlineStr">
        <is>
          <t>A comfortable middle-ground option for a week of repeated kneeling</t>
        </is>
      </c>
      <c r="R43" s="11" t="inlineStr">
        <is>
          <t>GPAA and Prospecting Australia forum posters specifically prefer pads with neoprene Velcro straps over hard rubber straps, since neoprene doesn't cut into the leg during long kneeling sessions on hard wet rock.</t>
        </is>
      </c>
      <c r="S43" s="11" t="inlineStr">
        <is>
          <t>neoprene straps are far more comfortable than rubber over long sessions; adjustable fit over pants</t>
        </is>
      </c>
      <c r="T43" s="11" t="inlineStr">
        <is>
          <t>neoprene shell absorbs some water/cold vs a sealed foam pad</t>
        </is>
      </c>
      <c r="U43" s="36" t="inlineStr">
        <is>
          <t>Gel-Cushion Kneeling Pad with adjustable straps</t>
        </is>
      </c>
      <c r="V43" s="33" t="n">
        <v>14</v>
      </c>
      <c r="W43" s="34" t="n">
        <v>28</v>
      </c>
      <c r="X43" s="11" t="inlineStr">
        <is>
          <t>$10-15 used</t>
        </is>
      </c>
      <c r="Y43" s="11" t="n">
        <v>3</v>
      </c>
      <c r="Z43" s="11" t="inlineStr">
        <is>
          <t>The most comfortable option if hours of kneeling per day is the plan; likely more than needed for a casual trip</t>
        </is>
      </c>
      <c r="AA43" s="11" t="inlineStr">
        <is>
          <t>Prospecting forum threads titled 'Best Knee Pads Ever' point to trade-quality gel work knee pads (built for flooring/construction workers) as the most comfortable option for hours of kneeling on hard, wet rock — genuinely built for all-day abuse.</t>
        </is>
      </c>
      <c r="AB43" s="11" t="inlineStr">
        <is>
          <t>gel cushioning is dramatically more comfortable over hours than foam; built for daily trade abuse — very durable</t>
        </is>
      </c>
      <c r="AC43" s="11" t="inlineStr">
        <is>
          <t>heaviest and bulkiest of the three tiers; overkill for a single week trip</t>
        </is>
      </c>
    </row>
    <row r="44" ht="75" customHeight="1">
      <c r="A44" s="31" t="inlineStr">
        <is>
          <t>gold_pan</t>
        </is>
      </c>
      <c r="B44" s="10" t="inlineStr">
        <is>
          <t>Primary gold pan for hand panning</t>
        </is>
      </c>
      <c r="C44" s="32" t="inlineStr">
        <is>
          <t>BP-14 14" Black Plastic Gold Pan</t>
        </is>
      </c>
      <c r="D44" s="33" t="n">
        <v>9</v>
      </c>
      <c r="E44" s="34" t="n">
        <v>7.26</v>
      </c>
      <c r="F44" s="11" t="inlineStr">
        <is>
          <t>n/a, cheap enough to buy new</t>
        </is>
      </c>
      <c r="G44" s="11" t="n">
        <v>5</v>
      </c>
      <c r="H44" s="11" t="inlineStr">
        <is>
          <t>Perfectly fine starter pan for a group of first-timers learning technique</t>
        </is>
      </c>
      <c r="I44" s="11" t="inlineStr">
        <is>
          <t>Plastic pans in this class (Estwing BP-14, ASR Outdoor 14") are the standard cheap entry point recommended across TreasureNet/BladeForums threads for beginners — light, cheap, and the molded riffles work fine for learning technique before investing more.</t>
        </is>
      </c>
      <c r="J44" s="11" t="inlineStr">
        <is>
          <t>very cheap; lightweight for the backpack kit; black color shows gold well against contrast</t>
        </is>
      </c>
      <c r="K44" s="11" t="inlineStr">
        <is>
          <t>riffles are less refined than name-brand green pans — some fine gold can wash over them; less durable long-term than a purpose-engineered pan</t>
        </is>
      </c>
      <c r="L44" s="35" t="inlineStr">
        <is>
          <t>14" Gravity Trap Gold Pan (green)</t>
        </is>
      </c>
      <c r="M44" s="33" t="n">
        <v>10</v>
      </c>
      <c r="N44" s="34" t="n">
        <v>8.99</v>
      </c>
      <c r="O44" s="11" t="inlineStr">
        <is>
          <t>$8-12 used</t>
        </is>
      </c>
      <c r="P44" s="11" t="n">
        <v>5</v>
      </c>
      <c r="Q44" s="11" t="inlineStr">
        <is>
          <t>The pan most likely to actually catch Georgia's characteristically fine gold better than a generic pan</t>
        </is>
      </c>
      <c r="R44"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4" s="11" t="inlineStr">
        <is>
          <t>sharper, deeper riffles retain more fine gold than generic pans; bright green improves gold visibility against black sand; virtually indestructible plastic, very light</t>
        </is>
      </c>
      <c r="T44" s="11" t="inlineStr">
        <is>
          <t>costs roughly double the cheapest option for a modest performance gain</t>
        </is>
      </c>
      <c r="U44" s="36" t="inlineStr">
        <is>
          <t>15" Super Sluice Gold Pan (two-stage riffle pan)</t>
        </is>
      </c>
      <c r="V44" s="33" t="n">
        <v>13</v>
      </c>
      <c r="W44" s="34" t="n">
        <v>25</v>
      </c>
      <c r="X44" s="11" t="inlineStr">
        <is>
          <t>$12-18 used</t>
        </is>
      </c>
      <c r="Y44" s="11" t="n">
        <v>3</v>
      </c>
      <c r="Z44" s="11" t="inlineStr">
        <is>
          <t>The best-performing pan for Georgia's fine gold, worth it for whoever in the group is most serious about maximizing recovery</t>
        </is>
      </c>
      <c r="AA44"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4" s="11" t="inlineStr">
        <is>
          <t>two-stage riffle system purpose-built for fine gold recovery; larger 15" size processes more material per pan; still light and unbreakable like other Garrett pans</t>
        </is>
      </c>
      <c r="AC44" s="11" t="inlineStr">
        <is>
          <t>steeper learning curve than a simple traditional pan for total beginners; slightly heavier/bulkier for the backpack kit</t>
        </is>
      </c>
    </row>
    <row r="45" ht="75" customHeight="1">
      <c r="A45" s="31" t="inlineStr">
        <is>
          <t>classifier</t>
        </is>
      </c>
      <c r="B45" s="10" t="inlineStr">
        <is>
          <t>Classifier for sizing material before/during panning</t>
        </is>
      </c>
      <c r="C45" s="32" t="inlineStr">
        <is>
          <t>1/2" Mesh Classifier</t>
        </is>
      </c>
      <c r="D45" s="33" t="n">
        <v>16</v>
      </c>
      <c r="E45" s="34" t="n">
        <v>25</v>
      </c>
      <c r="F45" s="11" t="inlineStr">
        <is>
          <t>$10-15 used</t>
        </is>
      </c>
      <c r="G45" s="11" t="n">
        <v>5</v>
      </c>
      <c r="H45" s="11" t="inlineStr">
        <is>
          <t>Sufficient for a first trip focused on learning technique in Georgia creek gravel</t>
        </is>
      </c>
      <c r="I45" s="11" t="inlineStr">
        <is>
          <t>A single 1/2" or 1/4" coarse classifier is the standard starting recommendation across prospecting guides — screening out rocks and gravel before panning dramatically speeds up recovery, and one screen covers most Georgia creek gravel.</t>
        </is>
      </c>
      <c r="J45" s="11" t="inlineStr">
        <is>
          <t>cheap, effective first-stage screen; stackable with finer screens later if desired</t>
        </is>
      </c>
      <c r="K45" s="11" t="inlineStr">
        <is>
          <t>single mesh size means you still hand-sort some in-between material</t>
        </is>
      </c>
      <c r="L45" s="35" t="inlineStr">
        <is>
          <t>Stackable Classifier Set (1/2", 1/4", 1/8")</t>
        </is>
      </c>
      <c r="M45" s="33" t="n">
        <v>30</v>
      </c>
      <c r="N45" s="34" t="n">
        <v>75</v>
      </c>
      <c r="O45" s="11" t="inlineStr">
        <is>
          <t>$20-30 used</t>
        </is>
      </c>
      <c r="P45" s="11" t="n">
        <v>4</v>
      </c>
      <c r="Q45" s="11" t="inlineStr">
        <is>
          <t>Strong fit given Georgia's reputation for fine gold — worth it for the group's shared base-camp cleanup station</t>
        </is>
      </c>
      <c r="R45"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5" s="11" t="inlineStr">
        <is>
          <t>multi-stage screening captures more fine gold than a single mesh; nests together for compact packing</t>
        </is>
      </c>
      <c r="T45" s="11" t="inlineStr">
        <is>
          <t>more gear to carry/track than a single classifier; costs more upfront</t>
        </is>
      </c>
      <c r="U45" s="36" t="inlineStr">
        <is>
          <t>Stainless Mesh Classifier Set incl. 50-mesh fine screen</t>
        </is>
      </c>
      <c r="V45" s="33" t="n">
        <v>34</v>
      </c>
      <c r="W45" s="34" t="n">
        <v>65</v>
      </c>
      <c r="X45" s="11" t="inlineStr">
        <is>
          <t>$30-40 used</t>
        </is>
      </c>
      <c r="Y45" s="11" t="n">
        <v>2</v>
      </c>
      <c r="Z45" s="11" t="inlineStr">
        <is>
          <t>Excellent if the goal is maximizing fine-gold recovery specifically; more setup than needed for a first casual trip</t>
        </is>
      </c>
      <c r="AA45"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5" s="11" t="inlineStr">
        <is>
          <t>stainless mesh far more durable than plastic screens; 50-mesh fine screen catches gold a standard classifier set misses</t>
        </is>
      </c>
      <c r="AC45" s="11" t="inlineStr">
        <is>
          <t>most expensive option, diminishing returns for a casual first trip; requires more cleanup technique to use the fine screen effectively</t>
        </is>
      </c>
    </row>
    <row r="46" ht="75" customHeight="1">
      <c r="A46" s="31" t="inlineStr">
        <is>
          <t>snuffer_bottle</t>
        </is>
      </c>
      <c r="B46" s="10" t="inlineStr">
        <is>
          <t>Snuffer bottle to suck up fine gold flakes from the pan</t>
        </is>
      </c>
      <c r="C46" s="32" t="inlineStr">
        <is>
          <t>Plastic Snuffer Bottle</t>
        </is>
      </c>
      <c r="D46" s="33" t="n">
        <v>1.5</v>
      </c>
      <c r="E46" s="34" t="n">
        <v>4</v>
      </c>
      <c r="F46" s="11" t="inlineStr">
        <is>
          <t>n/a, cheap enough to buy new</t>
        </is>
      </c>
      <c r="G46" s="11" t="n">
        <v>5</v>
      </c>
      <c r="H46" s="11" t="inlineStr">
        <is>
          <t>All that's needed for a week of casual panning</t>
        </is>
      </c>
      <c r="I46" s="11" t="inlineStr">
        <is>
          <t>A basic plastic snuffer bottle is the standard, no-debate tool for picking flakes out of the pan without losing them in the swirl — prospecting guides describe it (or a turkey baster in a pinch) as an essential, cheap must-have.</t>
        </is>
      </c>
      <c r="J46" s="11" t="inlineStr">
        <is>
          <t>cheap, does the one job well; tiny and light</t>
        </is>
      </c>
      <c r="K46" s="11" t="inlineStr">
        <is>
          <t>plastic tip can crack/wear with heavy use</t>
        </is>
      </c>
      <c r="L46" s="35" t="inlineStr">
        <is>
          <t>2-Pack Glass-Tip Snuffer Bottle with Tweezers</t>
        </is>
      </c>
      <c r="M46" s="33" t="n">
        <v>2</v>
      </c>
      <c r="N46" s="34" t="n">
        <v>11.99</v>
      </c>
      <c r="O46" s="11" t="inlineStr">
        <is>
          <t>n/a, cheap enough to buy new</t>
        </is>
      </c>
      <c r="P46" s="11" t="n">
        <v>5</v>
      </c>
      <c r="Q46" s="11" t="inlineStr">
        <is>
          <t>A nice small upgrade for the group's shared cleanup station</t>
        </is>
      </c>
      <c r="R46" s="11" t="inlineStr">
        <is>
          <t>Bundled fine-gold cleanup kits pairing a snuffer bottle with tweezers are a common step-up recommendation, since tweezers handle larger flakes that don't need suction, saving the snuffer's suction for genuinely fine material.</t>
        </is>
      </c>
      <c r="S46" s="11" t="inlineStr">
        <is>
          <t>glass tip more durable than plastic; tweezers included cover larger flakes</t>
        </is>
      </c>
      <c r="T46" s="11" t="inlineStr">
        <is>
          <t>glass tip can chip if dropped on rock</t>
        </is>
      </c>
      <c r="U46" s="36" t="inlineStr">
        <is>
          <t>Brass-Tip Snuffer Bottle Set</t>
        </is>
      </c>
      <c r="V46" s="33" t="n">
        <v>2.5</v>
      </c>
      <c r="W46" s="34" t="n">
        <v>13</v>
      </c>
      <c r="X46" s="11" t="inlineStr">
        <is>
          <t>n/a, cheap enough to buy new</t>
        </is>
      </c>
      <c r="Y46" s="11" t="n">
        <v>3</v>
      </c>
      <c r="Z46" s="11" t="inlineStr">
        <is>
          <t>Nice if this becomes a recurring hobby; unnecessary spend for one trip</t>
        </is>
      </c>
      <c r="AA46" s="11" t="inlineStr">
        <is>
          <t>Metal-tip snuffer bottles are favored by prospectors who do this regularly since the tip doesn't wear, crack, or deform the way plastic ones do after repeated seasons of use.</t>
        </is>
      </c>
      <c r="AB46" s="11" t="inlineStr">
        <is>
          <t>most durable tip material of the three tiers; won't degrade with repeated seasonal use</t>
        </is>
      </c>
      <c r="AC46" s="11" t="inlineStr">
        <is>
          <t>marginal benefit over the value tier for a single trip</t>
        </is>
      </c>
    </row>
    <row r="47" ht="75" customHeight="1">
      <c r="A47" s="31" t="inlineStr">
        <is>
          <t>crevice_tools</t>
        </is>
      </c>
      <c r="B47" s="10" t="inlineStr">
        <is>
          <t>Crevice tools to pick gold out of bedrock cracks</t>
        </is>
      </c>
      <c r="C47" s="32" t="inlineStr">
        <is>
          <t>Hook and Pick Precision Crevice Tool Set, 6 Pieces</t>
        </is>
      </c>
      <c r="D47" s="33" t="n">
        <v>4</v>
      </c>
      <c r="E47" s="34" t="n">
        <v>17.25</v>
      </c>
      <c r="F47" s="11" t="inlineStr">
        <is>
          <t>n/a, cheap enough to buy new</t>
        </is>
      </c>
      <c r="G47" s="11" t="n">
        <v>5</v>
      </c>
      <c r="H47" s="11" t="inlineStr">
        <is>
          <t>Good for the CNF-legal hand-pan-and-trowel approach — no sluicing or bank digging allowed, so crevice work at exposed bedrock is one of the few extra techniques permitted</t>
        </is>
      </c>
      <c r="I47" s="11" t="inlineStr">
        <is>
          <t>Bundled prospecting kits universally include a basic crevice pick set as core equipment for getting gold out of bedrock cracks and crevices — a simple, inexpensive, effective tool with no real debate around it.</t>
        </is>
      </c>
      <c r="J47" s="11" t="inlineStr">
        <is>
          <t>cheap; does exactly what's needed</t>
        </is>
      </c>
      <c r="K47" s="11" t="inlineStr">
        <is>
          <t>basic metal can bend/dull with heavy rock use</t>
        </is>
      </c>
      <c r="L47" s="35" t="inlineStr">
        <is>
          <t>Stainless Steel Crevice Tool Set with Magnet</t>
        </is>
      </c>
      <c r="M47" s="33" t="n">
        <v>6</v>
      </c>
      <c r="N47" s="34" t="n">
        <v>59.95</v>
      </c>
      <c r="O47" s="11" t="inlineStr">
        <is>
          <t>$8-12 used</t>
        </is>
      </c>
      <c r="P47" s="11" t="n">
        <v>5</v>
      </c>
      <c r="Q47" s="11" t="inlineStr">
        <is>
          <t>A useful, durable step up for the whole trip's daily use</t>
        </is>
      </c>
      <c r="R47" s="11" t="inlineStr">
        <is>
          <t>A stainless set with an integrated magnet for pulling black sand/magnetite is a common step-up recommendation for cleanup efficiency — doesn't rust between uses and handles crevice work without dulling as fast as basic sets.</t>
        </is>
      </c>
      <c r="S47" s="11" t="inlineStr">
        <is>
          <t>stainless won't rust after a wet week; built-in magnet speeds up black-sand cleanup</t>
        </is>
      </c>
      <c r="T47" s="11" t="inlineStr">
        <is>
          <t>marginally heavier than the basic plastic-handled set</t>
        </is>
      </c>
      <c r="U47" s="36" t="inlineStr">
        <is>
          <t>Branded Crevice Tool Kit</t>
        </is>
      </c>
      <c r="V47" s="33" t="n">
        <v>8</v>
      </c>
      <c r="W47" s="34" t="n">
        <v>25</v>
      </c>
      <c r="X47" s="11" t="inlineStr">
        <is>
          <t>$12-16 used</t>
        </is>
      </c>
      <c r="Y47" s="11" t="n">
        <v>3</v>
      </c>
      <c r="Z47" s="11" t="inlineStr">
        <is>
          <t>Nice for a recurring hobbyist; not essential for this trip</t>
        </is>
      </c>
      <c r="AA47" s="11" t="inlineStr">
        <is>
          <t>Branded crevice kits from established prospecting-tool makers get cited as the durable long-term option in gear guides, with hardened tips that hold up to repeated bedrock scraping better than generic imports.</t>
        </is>
      </c>
      <c r="AB47" s="11" t="inlineStr">
        <is>
          <t>hardened tips last longer against bedrock; backed by an established prospecting brand</t>
        </is>
      </c>
      <c r="AC47" s="11" t="inlineStr">
        <is>
          <t>unnecessary spend for a casual first trip</t>
        </is>
      </c>
    </row>
    <row r="48" ht="75" customHeight="1">
      <c r="A48" s="31" t="inlineStr">
        <is>
          <t>vials</t>
        </is>
      </c>
      <c r="B48" s="10" t="inlineStr">
        <is>
          <t>Storage vials for recovered gold</t>
        </is>
      </c>
      <c r="C48" s="32" t="inlineStr">
        <is>
          <t>Plastic Snap-Cap Vials (5-pack)</t>
        </is>
      </c>
      <c r="D48" s="33" t="n">
        <v>1</v>
      </c>
      <c r="E48" s="34" t="n">
        <v>5</v>
      </c>
      <c r="F48" s="11" t="inlineStr">
        <is>
          <t>n/a, cheap enough to buy new</t>
        </is>
      </c>
      <c r="G48" s="11" t="n">
        <v>5</v>
      </c>
      <c r="H48" s="11" t="inlineStr">
        <is>
          <t>Fine for a week's worth of finds; bring 2 per person as in the existing base plan</t>
        </is>
      </c>
      <c r="I48" s="11" t="inlineStr">
        <is>
          <t>Basic snap-cap plastic vials are the standard, unremarkable way most prospectors store daily finds — cheap and functional with no real community debate.</t>
        </is>
      </c>
      <c r="J48" s="11" t="inlineStr">
        <is>
          <t>cheap; light</t>
        </is>
      </c>
      <c r="K48" s="11" t="inlineStr">
        <is>
          <t>snap caps can pop open if dropped/jostled in a pack</t>
        </is>
      </c>
      <c r="L48" s="35" t="inlineStr">
        <is>
          <t>Glass Vials with Foam-Lined Screw Caps (12-pack)</t>
        </is>
      </c>
      <c r="M48" s="33" t="n">
        <v>1.5</v>
      </c>
      <c r="N48" s="34" t="n">
        <v>9.99</v>
      </c>
      <c r="O48" s="11" t="inlineStr">
        <is>
          <t>n/a, cheap enough to buy new</t>
        </is>
      </c>
      <c r="P48" s="11" t="n">
        <v>5</v>
      </c>
      <c r="Q48" s="11" t="inlineStr">
        <is>
          <t>A safer choice for carrying finds in a backpack over rough terrain</t>
        </is>
      </c>
      <c r="R48" s="11" t="inlineStr">
        <is>
          <t>Screw-cap glass vials with foam liners are a common step-up recommendation since they won't pop open accidentally like snap-cap plastic vials, and glass doesn't scratch/cloud over time.</t>
        </is>
      </c>
      <c r="S48" s="11" t="inlineStr">
        <is>
          <t>screw cap won't pop open in a pack; glass stays clear, easy to see contents</t>
        </is>
      </c>
      <c r="T48" s="11" t="inlineStr">
        <is>
          <t>glass can break if dropped on rock</t>
        </is>
      </c>
      <c r="U48" s="36" t="inlineStr">
        <is>
          <t>Leak-Proof Glass Gold Vials with Measurement Markings</t>
        </is>
      </c>
      <c r="V48" s="33" t="n">
        <v>2</v>
      </c>
      <c r="W48" s="34" t="n">
        <v>4</v>
      </c>
      <c r="X48" s="11" t="inlineStr">
        <is>
          <t>n/a, cheap enough to buy new</t>
        </is>
      </c>
      <c r="Y48" s="11" t="n">
        <v>4</v>
      </c>
      <c r="Z48" s="11" t="inlineStr">
        <is>
          <t>A fun nice-to-have, not a functional necessity</t>
        </is>
      </c>
      <c r="AA48" s="11" t="inlineStr">
        <is>
          <t>Vials with volume markings let prospectors informally track how much they've recovered day to day — a nice-to-have feature cited in prospecting gear guides for people who like keeping a running tally.</t>
        </is>
      </c>
      <c r="AB48" s="11" t="inlineStr">
        <is>
          <t>measurement markings add a fun tracking element; leak-proof gasket seal</t>
        </is>
      </c>
      <c r="AC48" s="11" t="inlineStr">
        <is>
          <t>marginal functional benefit over the value tier for a casual trip</t>
        </is>
      </c>
    </row>
    <row r="49" ht="75" customHeight="1">
      <c r="A49" s="31" t="inlineStr">
        <is>
          <t>magnifier_loupe</t>
        </is>
      </c>
      <c r="B49" s="10" t="inlineStr">
        <is>
          <t>Magnifier/loupe to confirm gold vs pyrite/mica</t>
        </is>
      </c>
      <c r="C49" s="32" t="inlineStr">
        <is>
          <t>10x Plastic Keychain Loupe</t>
        </is>
      </c>
      <c r="D49" s="33" t="n">
        <v>1</v>
      </c>
      <c r="E49" s="34" t="n">
        <v>7.99</v>
      </c>
      <c r="F49" s="11" t="inlineStr">
        <is>
          <t>n/a, cheap enough to buy new</t>
        </is>
      </c>
      <c r="G49" s="11" t="n">
        <v>5</v>
      </c>
      <c r="H49" s="11" t="inlineStr">
        <is>
          <t>Fine for confirming finds streamside in daylight</t>
        </is>
      </c>
      <c r="I49" s="11" t="inlineStr">
        <is>
          <t>UK Gold Prospector's equipment guide and general prospecting advice both note a basic jeweler's loupe is enough to tell real gold from fool's gold (pyrite) or mica by checking for consistent malleable flattening vs. brittle sparkle.</t>
        </is>
      </c>
      <c r="J49" s="11" t="inlineStr">
        <is>
          <t>cheap, does the core job of ID'ing finds; tiny, clips to a keyring/zipper pull</t>
        </is>
      </c>
      <c r="K49" s="11" t="inlineStr">
        <is>
          <t>small lens, no light source for dim conditions</t>
        </is>
      </c>
      <c r="L49" s="35" t="inlineStr">
        <is>
          <t>30x60 Jeweler's Loupe with Built-In LED Light</t>
        </is>
      </c>
      <c r="M49" s="33" t="n">
        <v>2.5</v>
      </c>
      <c r="N49" s="34" t="n">
        <v>8.98</v>
      </c>
      <c r="O49" s="11" t="inlineStr">
        <is>
          <t>n/a, cheap enough to buy new</t>
        </is>
      </c>
      <c r="P49" s="11" t="n">
        <v>5</v>
      </c>
      <c r="Q49" s="11" t="inlineStr">
        <is>
          <t>A genuinely useful small upgrade for GA's often-shaded creek banks</t>
        </is>
      </c>
      <c r="R49" s="11" t="inlineStr">
        <is>
          <t>Illuminated loupes are commonly bundled into complete prospecting kits since built-in LED lighting makes it much easier to inspect flakes in shaded creek banks or overcast October weather.</t>
        </is>
      </c>
      <c r="S49" s="11" t="inlineStr">
        <is>
          <t>built-in light helps on overcast days or in tree shade; higher, more useful magnification range</t>
        </is>
      </c>
      <c r="T49" s="11" t="inlineStr">
        <is>
          <t>slightly bulkier than a bare keychain loupe</t>
        </is>
      </c>
      <c r="U49" s="36" t="inlineStr">
        <is>
          <t>10x Triplet Achromatic Loupe</t>
        </is>
      </c>
      <c r="V49" s="33" t="n">
        <v>2</v>
      </c>
      <c r="W49" s="34" t="n">
        <v>20</v>
      </c>
      <c r="X49" s="11" t="inlineStr">
        <is>
          <t>$12-18 used</t>
        </is>
      </c>
      <c r="Y49" s="11" t="n">
        <v>3</v>
      </c>
      <c r="Z49" s="11" t="inlineStr">
        <is>
          <t>Nice if someone in the group is a serious rockhound; unnecessary for casual gold ID</t>
        </is>
      </c>
      <c r="AA49"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9" s="11" t="inlineStr">
        <is>
          <t>distortion-free optical quality; precise enough for real mineral ID, not just gold-spotting</t>
        </is>
      </c>
      <c r="AC49" s="11" t="inlineStr">
        <is>
          <t>overkill precision for a casual group trip</t>
        </is>
      </c>
    </row>
    <row r="50" ht="75" customHeight="1">
      <c r="A50" s="31" t="inlineStr">
        <is>
          <t>small_trowel</t>
        </is>
      </c>
      <c r="B50" s="10" t="inlineStr">
        <is>
          <t>Small trowel (CNF rules: hand pan + trowel only, no bank digging)</t>
        </is>
      </c>
      <c r="C50" s="32" t="inlineStr">
        <is>
          <t>Folding Garden Trowel</t>
        </is>
      </c>
      <c r="D50" s="33" t="n">
        <v>6</v>
      </c>
      <c r="E50" s="34" t="n">
        <v>6.28</v>
      </c>
      <c r="F50" s="11" t="inlineStr">
        <is>
          <t>n/a, cheap enough to buy new</t>
        </is>
      </c>
      <c r="G50" s="11" t="n">
        <v>5</v>
      </c>
      <c r="H50" s="11" t="inlineStr">
        <is>
          <t>Adequate for CNF-legal gravel-bar scooping</t>
        </is>
      </c>
      <c r="I50" s="11" t="inlineStr">
        <is>
          <t>A basic garden trowel is the standard cheap tool prospecting guides list for scooping gravel into the pan — nothing fancy needed since Chattahoochee NF rules already prohibit bank digging, limiting trowel use to loose gravel-bar material.</t>
        </is>
      </c>
      <c r="J50" s="11" t="inlineStr">
        <is>
          <t>cheap; does the one legal job (scooping gravel-bar material) fine</t>
        </is>
      </c>
      <c r="K50" s="11" t="inlineStr">
        <is>
          <t>not built for backpacking weight savings; can bend on rocky ground</t>
        </is>
      </c>
      <c r="L50" s="35" t="inlineStr">
        <is>
          <t>The Deuce of Spades UL Trowel</t>
        </is>
      </c>
      <c r="M50" s="33" t="n">
        <v>0.6</v>
      </c>
      <c r="N50" s="34" t="n">
        <v>20.95</v>
      </c>
      <c r="O50" s="11" t="inlineStr">
        <is>
          <t>$12-16 used on r/UltralightExchange</t>
        </is>
      </c>
      <c r="P50" s="11" t="n">
        <v>4</v>
      </c>
      <c r="Q50" s="11" t="inlineStr">
        <is>
          <t>The best pick for the overnight backpack leg specifically — real weight savings that matters when carrying a full pack 3-5 miles</t>
        </is>
      </c>
      <c r="R50"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50" s="11" t="inlineStr">
        <is>
          <t>dramatically lighter than any garden trowel (0.6 oz vs 6+ oz); titanium won't rust or bend; dual-purpose: doubles as the trip's cathole trowel too</t>
        </is>
      </c>
      <c r="T50" s="11" t="inlineStr">
        <is>
          <t>small scoop size means more scoops per pan-load; premium price for 'just a trowel'</t>
        </is>
      </c>
      <c r="U50" s="36" t="inlineStr">
        <is>
          <t>Full-Tang Stainless Prospecting Hand Shovel</t>
        </is>
      </c>
      <c r="V50" s="33" t="n">
        <v>10</v>
      </c>
      <c r="W50" s="34" t="n">
        <v>28</v>
      </c>
      <c r="X50" s="11" t="inlineStr">
        <is>
          <t>$12-18 used</t>
        </is>
      </c>
      <c r="Y50" s="11" t="n">
        <v>3</v>
      </c>
      <c r="Z50" s="11" t="inlineStr">
        <is>
          <t>Good for base-camp use where weight doesn't matter; use the Deuce of Spades for the overnight hike instead</t>
        </is>
      </c>
      <c r="AA50" s="11" t="inlineStr">
        <is>
          <t>Full-tang stainless hand shovels marketed specifically for prospecting are favored by more serious hobbyists for durability against constant contact with rock and gravel — won't loosen at the handle the way cheap garden trowels eventually do.</t>
        </is>
      </c>
      <c r="AB50" s="11" t="inlineStr">
        <is>
          <t>most durable option for repeated gravel-bar scooping; full-tang construction won't loosen over time</t>
        </is>
      </c>
      <c r="AC50" s="11" t="inlineStr">
        <is>
          <t>heaviest of the three tiers — not ideal for the backpack leg</t>
        </is>
      </c>
    </row>
    <row r="51" ht="75" customHeight="1">
      <c r="A51" s="31" t="inlineStr">
        <is>
          <t>bucket_scoop</t>
        </is>
      </c>
      <c r="B51" s="10" t="inlineStr">
        <is>
          <t>5-gal bucket/scoop for base-camp pan-out station</t>
        </is>
      </c>
      <c r="C51" s="32" t="inlineStr">
        <is>
          <t>Plain 5-Gallon Bucket</t>
        </is>
      </c>
      <c r="D51" s="33" t="n">
        <v>32</v>
      </c>
      <c r="E51" s="34" t="n">
        <v>5</v>
      </c>
      <c r="F51" s="11" t="inlineStr">
        <is>
          <t>free if already owned</t>
        </is>
      </c>
      <c r="G51" s="11" t="n">
        <v>5</v>
      </c>
      <c r="H51" s="11" t="inlineStr">
        <is>
          <t>Perfectly fine for car-supported base camp use (not carried on the overnight)</t>
        </is>
      </c>
      <c r="I51" s="11" t="inlineStr">
        <is>
          <t>A plain hardware-store bucket is the universal, unremarkable base-camp tool for hauling gravel/concentrate to the cleanup station — no community debate, it's the cheapest option that works.</t>
        </is>
      </c>
      <c r="J51" s="11" t="inlineStr">
        <is>
          <t>cheap; doubles as a wash tub/seat/storage at camp</t>
        </is>
      </c>
      <c r="K51" s="11" t="inlineStr">
        <is>
          <t>no built-in classifying function</t>
        </is>
      </c>
      <c r="L51" s="35" t="inlineStr">
        <is>
          <t>5-Gallon Bucket with Built-In Classifier Lid</t>
        </is>
      </c>
      <c r="M51" s="33" t="n">
        <v>40</v>
      </c>
      <c r="N51" s="34" t="n">
        <v>28</v>
      </c>
      <c r="O51" s="11" t="inlineStr">
        <is>
          <t>$10-15 used</t>
        </is>
      </c>
      <c r="P51" s="11" t="n">
        <v>4</v>
      </c>
      <c r="Q51" s="11" t="inlineStr">
        <is>
          <t>A nice group upgrade for the evening pan-out station</t>
        </is>
      </c>
      <c r="R51" s="11" t="inlineStr">
        <is>
          <t>Prospecting supply stores commonly sell bucket-lid classifier combos as a step up from a plain bucket, letting the group sieve gravel directly into the bucket at the pan-out station without a separate hand classifier.</t>
        </is>
      </c>
      <c r="S51" s="11" t="inlineStr">
        <is>
          <t>built-in classifying saves a step at the cleanup station; still doubles as general camp storage/hauling</t>
        </is>
      </c>
      <c r="T51" s="11" t="inlineStr">
        <is>
          <t>pricier than a plain bucket for a convenience feature</t>
        </is>
      </c>
      <c r="U51" s="36" t="inlineStr">
        <is>
          <t>Bucket Riffle/Classifier Combo Kit</t>
        </is>
      </c>
      <c r="V51" s="33" t="n">
        <v>48</v>
      </c>
      <c r="W51" s="34" t="n">
        <v>45</v>
      </c>
      <c r="X51" s="11" t="inlineStr">
        <is>
          <t>$20-30 used</t>
        </is>
      </c>
      <c r="Y51" s="11" t="n">
        <v>3</v>
      </c>
      <c r="Z51" s="11" t="inlineStr">
        <is>
          <t>Overkill for this group's needs; the value tier bucket+lid does the job</t>
        </is>
      </c>
      <c r="AA51" s="11" t="inlineStr">
        <is>
          <t>Full riffle-bucket combo kits from established prospecting brands are aimed at people processing larger volumes of material at a base-camp cleanup station, letting the whole group's day's concentrate get pre-sorted efficiently before final panning.</t>
        </is>
      </c>
      <c r="AB51" s="11" t="inlineStr">
        <is>
          <t>most efficient setup for a 6-person group's daily concentrate; purpose-built prospecting-brand durability</t>
        </is>
      </c>
      <c r="AC51" s="11" t="inlineStr">
        <is>
          <t>unnecessary expense/complexity for a casual first trip</t>
        </is>
      </c>
    </row>
    <row r="52" ht="75" customHeight="1">
      <c r="A52" s="31" t="inlineStr">
        <is>
          <t>trail_pan_kit</t>
        </is>
      </c>
      <c r="B52" s="10" t="inlineStr">
        <is>
          <t>Compact panning kit carried in the backpack on the overnight leg</t>
        </is>
      </c>
      <c r="C52" s="32" t="inlineStr">
        <is>
          <t>Estwing BP-14 pan + ASR 1/2" classifier + plastic snuffer + 2 vials</t>
        </is>
      </c>
      <c r="D52" s="33" t="n">
        <v>30</v>
      </c>
      <c r="E52" s="34" t="n">
        <v>7.26</v>
      </c>
      <c r="F52" s="11" t="inlineStr">
        <is>
          <t>n/a, assemble from parts above</t>
        </is>
      </c>
      <c r="G52" s="11" t="n">
        <v>5</v>
      </c>
      <c r="H52" s="11" t="inlineStr">
        <is>
          <t>Ideal weight/cost for the one overnight hike — everything needed for CNF-legal hand panning, nothing more</t>
        </is>
      </c>
      <c r="I52"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2" s="11" t="inlineStr">
        <is>
          <t>cheapest way to a complete legal kit; no wasted weight/cost on prohibited sluice components; components already priced individually above</t>
        </is>
      </c>
      <c r="K52" s="11" t="inlineStr">
        <is>
          <t>not pre-packaged — you assemble and stuff-sack it yourself</t>
        </is>
      </c>
      <c r="L52" s="35" t="inlineStr">
        <is>
          <t>Compact Prospecting Kit (pan, 2 classifiers, magnet, magnifier, 3 snuffers, 3 vials) minus sluice</t>
        </is>
      </c>
      <c r="M52" s="33" t="n">
        <v>38</v>
      </c>
      <c r="N52" s="34" t="n">
        <v>40</v>
      </c>
      <c r="O52" s="11" t="inlineStr">
        <is>
          <t>$18-25 used</t>
        </is>
      </c>
      <c r="P52" s="11" t="n">
        <v>4</v>
      </c>
      <c r="Q52" s="11" t="inlineStr">
        <is>
          <t>Good value if you deliberately leave the sluice parts in the truck/at home and pack only the legal hand tools</t>
        </is>
      </c>
      <c r="R52"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2" s="11" t="inlineStr">
        <is>
          <t>one purchase covers pan, classifier, magnet, magnifier, vials, snuffers; good value per accessory included</t>
        </is>
      </c>
      <c r="T52" s="11" t="inlineStr">
        <is>
          <t>includes sluice-box parts you can't legally use in Chattahoochee NF — extra weight/cost if you don't strip them out before packing</t>
        </is>
      </c>
      <c r="U52" s="36" t="inlineStr">
        <is>
          <t>Curated kit: Garrett 14" Gravity Trap pan + stainless classifier set + stainless crevice tools + brass snuffer, packed in a dedicated mesh stuff sack</t>
        </is>
      </c>
      <c r="V52" s="33" t="n">
        <v>52</v>
      </c>
      <c r="W52" s="34" t="n">
        <v>69.98999999999999</v>
      </c>
      <c r="X52" s="11" t="inlineStr">
        <is>
          <t>$45-65 assembled from used parts</t>
        </is>
      </c>
      <c r="Y52" s="11" t="n">
        <v>3</v>
      </c>
      <c r="Z52" s="11" t="inlineStr">
        <is>
          <t>The right call for whoever in the group plans to keep prospecting after this trip; overkill just for a single outing</t>
        </is>
      </c>
      <c r="AA52"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2" s="11" t="inlineStr">
        <is>
          <t>every component chosen for durability and fine-gold performance; will last many seasons, not just this one trip; dedicated mesh sack keeps it self-contained and separate from dry gear</t>
        </is>
      </c>
      <c r="AC52" s="11" t="inlineStr">
        <is>
          <t>most expensive assembled kit; heaviest of the three trail-kit tiers, though still light in absolute backpacking terms</t>
        </is>
      </c>
    </row>
    <row r="53" ht="75" customHeight="1">
      <c r="A53" s="31" t="inlineStr">
        <is>
          <t>sleep_system_30f</t>
        </is>
      </c>
      <c r="B53" s="10" t="inlineStr">
        <is>
          <t>30F-rated sleeping bag/quilt (RECOMMENDED default -- beginner-safe pick)</t>
        </is>
      </c>
      <c r="C53" s="32" t="inlineStr">
        <is>
          <t>Trestles 30</t>
        </is>
      </c>
      <c r="D53" s="33" t="n">
        <v>52</v>
      </c>
      <c r="E53" s="34" t="n">
        <v>99.95</v>
      </c>
      <c r="F53" s="11" t="inlineStr">
        <is>
          <t>$45-65 on REI Re/Gear</t>
        </is>
      </c>
      <c r="G53" s="11" t="n">
        <v>5</v>
      </c>
      <c r="H53" s="11" t="inlineStr">
        <is>
          <t>Verified fit: Vogel Oct lows 2020-25 averaged 39-48F, coldest night 29F (2022); a 30F bag + puffy + base layer covers this with the El Nino warm/wet outlook</t>
        </is>
      </c>
      <c r="I53" s="11" t="inlineStr">
        <is>
          <t>The standard budget synthetic 30F bag REI/CleverHiker point beginners to; synthetic fill keeps insulating if it gets damp, which matters given the wetter-than-normal Oct 2026 outlook.</t>
        </is>
      </c>
      <c r="J53" s="11" t="inlineStr">
        <is>
          <t>Synthetic — forgiving of damp tent/rain; full rectangular room; cheap enough for a first trip</t>
        </is>
      </c>
      <c r="K53" s="11" t="inlineStr">
        <is>
          <t>Bulkier/heavier than a 30F quilt; real-world warmth runs a few degrees warmer-rated</t>
        </is>
      </c>
      <c r="L53" s="35" t="inlineStr">
        <is>
          <t>Revelation 30 (stock, 850fp)</t>
        </is>
      </c>
      <c r="M53" s="33" t="n">
        <v>19.8</v>
      </c>
      <c r="N53" s="34" t="n">
        <v>365</v>
      </c>
      <c r="O53" s="11" t="inlineStr">
        <is>
          <t>$180-240 on r/ULgeartrade</t>
        </is>
      </c>
      <c r="P53" s="11" t="n">
        <v>3</v>
      </c>
      <c r="Q53" s="11" t="inlineStr">
        <is>
          <t>30F with draft collar plus a puffy/base layer comfortably covers the verified 39-48F average lows and the one-off 29F cold night</t>
        </is>
      </c>
      <c r="R53" s="11" t="inlineStr">
        <is>
          <t>The most-recommended value 30F quilt on r/Ultralight — roughly half the weight of a synthetic 30F bag; needs a good pad seal and a dry bag inside the pack liner given the wetter outlook.</t>
        </is>
      </c>
      <c r="S53" s="11" t="inlineStr">
        <is>
          <t>About half the weight/bulk of the budget synthetic 30F bag; draft collar now standard on 30F+; adjustable footbox</t>
        </is>
      </c>
      <c r="T53" s="11" t="inlineStr">
        <is>
          <t>Down needs to stay dry — non-negotiable dry-sack discipline given rain in the forecast; no zipper/hood, small learning curve</t>
        </is>
      </c>
      <c r="U53" s="36" t="inlineStr">
        <is>
          <t>Flex 30</t>
        </is>
      </c>
      <c r="V53" s="33" t="n">
        <v>20.3</v>
      </c>
      <c r="W53" s="34" t="n">
        <v>365</v>
      </c>
      <c r="X53" s="11" t="inlineStr">
        <is>
          <t>$230-290 on r/ULgeartrade</t>
        </is>
      </c>
      <c r="Y53" s="11" t="n">
        <v>2</v>
      </c>
      <c r="Z53" s="11" t="inlineStr">
        <is>
          <t>Comfort margin below the 30F rating covers an unusually cold, damp night with room to spare</t>
        </is>
      </c>
      <c r="AA53" s="11" t="inlineStr">
        <is>
          <t>Katabatic's pad-attachment system is repeatedly cited (Backpacking Light, The Trek) as best-in-class for sealing drafts; hikers report comfort noticeably below the stated rating, giving real margin on a genuinely cold outlier night.</t>
        </is>
      </c>
      <c r="AB53" s="11" t="inlineStr">
        <is>
          <t>Best-in-class draft sealing; 900fp water-resistant down shrugs off tent-wall condensation better than standard down; real margin below 30F</t>
        </is>
      </c>
      <c r="AC53"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1-person 3-season shelter (each hiker carries and owns his own tent, not split)</t>
        </is>
      </c>
      <c r="C5" s="37" t="inlineStr">
        <is>
          <t>Budget</t>
        </is>
      </c>
      <c r="D5" s="37" t="inlineStr">
        <is>
          <t>Kelty</t>
        </is>
      </c>
      <c r="E5" s="37" t="inlineStr">
        <is>
          <t>Late Start 1P Tent</t>
        </is>
      </c>
      <c r="F5" s="39" t="n">
        <v>57</v>
      </c>
      <c r="G5" s="38" t="inlineStr">
        <is>
          <t>3 lb 9 oz (57 oz) minimum trail weight per REI spec</t>
        </is>
      </c>
      <c r="H5" s="40" t="n">
        <v>149.95</v>
      </c>
      <c r="I5" s="41" t="inlineStr">
        <is>
          <t>https://www.rei.com/product/C17058/kelty-late-start-1p-tent</t>
        </is>
      </c>
      <c r="J5" s="38" t="inlineStr">
        <is>
          <t>n/a, new arrival</t>
        </is>
      </c>
      <c r="K5" s="38" t="inlineStr">
        <is>
          <t>REI</t>
        </is>
      </c>
      <c r="L5" s="38" t="inlineStr">
        <is>
          <t>REI's cheapest current 1-person freestanding backpacking tent -- 'Quick Corner' pole design pitches fast, full-coverage rainfly, straightforward freestanding setup that suits a first-time solo tent buyer.</t>
        </is>
      </c>
      <c r="M5" s="38" t="inlineStr">
        <is>
          <t>https://www.rei.com/product/C17058/kelty-late-start-1p-tent</t>
        </is>
      </c>
      <c r="N5" s="38" t="inlineStr">
        <is>
          <t>Freestanding, fast/easy pitch; Full-coverage rainfly; Cheapest in-stock 1P option with a return policy</t>
        </is>
      </c>
      <c r="O5" s="38" t="inlineStr">
        <is>
          <t>Heavier than UL 1P tents; New model, few reviews yet</t>
        </is>
      </c>
      <c r="P5" s="38" t="inlineStr">
        <is>
          <t>Freestanding pole tent handles rocky/root-y GA sites and is easy for a beginner to pitch solo in the dark or rain</t>
        </is>
      </c>
      <c r="Q5" s="37" t="n">
        <v>5</v>
      </c>
      <c r="R5" s="37" t="n">
        <v>1</v>
      </c>
      <c r="S5" s="38" t="inlineStr">
        <is>
          <t>2026-09-23: replaces the old shared 2-person REI Trail Hut 2 -- each hiker now carries/buys his own 1-person tent, full price, no split</t>
        </is>
      </c>
      <c r="T5">
        <f>A5&amp;"|"&amp;C5</f>
        <v/>
      </c>
    </row>
    <row r="6">
      <c r="A6" s="37" t="inlineStr">
        <is>
          <t>tent_shelter</t>
        </is>
      </c>
      <c r="B6" s="38" t="inlineStr">
        <is>
          <t>1-person 3-season shelter (each hiker carries and owns his own tent, not split)</t>
        </is>
      </c>
      <c r="C6" s="37" t="inlineStr">
        <is>
          <t>Value</t>
        </is>
      </c>
      <c r="D6" s="37" t="inlineStr">
        <is>
          <t>MSR</t>
        </is>
      </c>
      <c r="E6" s="37" t="inlineStr">
        <is>
          <t>Elixir 1 Tent with Footprint</t>
        </is>
      </c>
      <c r="F6" s="39" t="n">
        <v>65</v>
      </c>
      <c r="G6" s="38" t="inlineStr">
        <is>
          <t>4 lb 1 oz (65 oz) minimum trail weight per REI spec</t>
        </is>
      </c>
      <c r="H6" s="40" t="n">
        <v>289.95</v>
      </c>
      <c r="I6" s="41" t="inlineStr">
        <is>
          <t>https://www.rei.com/product/246230/msr-elixir-1-tent-with-footprint</t>
        </is>
      </c>
      <c r="J6" s="38" t="inlineStr">
        <is>
          <t>$150-200 used</t>
        </is>
      </c>
      <c r="K6" s="38" t="inlineStr">
        <is>
          <t>REI</t>
        </is>
      </c>
      <c r="L6" s="38" t="inlineStr">
        <is>
          <t>REI markets the Elixir line explicitly to newer backpackers -- freestanding traditional pole tent (not trekking-pole-only, not DCF), roomy 18 sq ft interior, includes footprint.</t>
        </is>
      </c>
      <c r="M6" s="38" t="inlineStr">
        <is>
          <t>https://www.rei.com/product/246230/msr-elixir-1-tent-with-footprint</t>
        </is>
      </c>
      <c r="N6" s="38" t="inlineStr">
        <is>
          <t>Freestanding, beginner-friendly per REI's own description; Roomy 18 sq ft floor, tall 39in headroom; Includes footprint</t>
        </is>
      </c>
      <c r="O6" s="38" t="inlineStr">
        <is>
          <t>Heavier than UL trekking-pole shelters; Not as light as the old shared 2P split-weight math</t>
        </is>
      </c>
      <c r="P6" s="38" t="inlineStr">
        <is>
          <t>Easy solo pitch on rocky NC/GA sites, full double-wall handles humid cold-30s condensation well</t>
        </is>
      </c>
      <c r="Q6" s="37" t="n">
        <v>5</v>
      </c>
      <c r="R6" s="37" t="n">
        <v>1</v>
      </c>
      <c r="S6" s="38" t="inlineStr">
        <is>
          <t>2026-09-23: replaces the old shared 2-person Durston X-Mid 2 (trekking-pole-only, beginner_score 3) -- freestanding 1-person alternative, full price, no split</t>
        </is>
      </c>
      <c r="T6">
        <f>A6&amp;"|"&amp;C6</f>
        <v/>
      </c>
    </row>
    <row r="7">
      <c r="A7" s="37" t="inlineStr">
        <is>
          <t>tent_shelter</t>
        </is>
      </c>
      <c r="B7" s="38" t="inlineStr">
        <is>
          <t>1-person 3-season shelter (each hiker carries and owns his own tent, not split)</t>
        </is>
      </c>
      <c r="C7" s="37" t="inlineStr">
        <is>
          <t>Premium</t>
        </is>
      </c>
      <c r="D7" s="37" t="inlineStr">
        <is>
          <t>NEMO</t>
        </is>
      </c>
      <c r="E7" s="37" t="inlineStr">
        <is>
          <t>Dragonfly OSMO 1P Ultralight Backpacking Tent</t>
        </is>
      </c>
      <c r="F7" s="39" t="n">
        <v>34</v>
      </c>
      <c r="G7" s="38" t="inlineStr">
        <is>
          <t>~2 lb 2 oz (34 oz) minimum trail weight per NEMO/REI spec</t>
        </is>
      </c>
      <c r="H7" s="40" t="n">
        <v>499.95</v>
      </c>
      <c r="I7" s="41" t="inlineStr">
        <is>
          <t>https://www.rei.com/product/C01602/nemo-dragonfly-osmo-1p-ultralight-backpacking-tent</t>
        </is>
      </c>
      <c r="J7" s="38" t="inlineStr">
        <is>
          <t>$300-380 used, holds value well</t>
        </is>
      </c>
      <c r="K7" s="38" t="inlineStr">
        <is>
          <t>REI</t>
        </is>
      </c>
      <c r="L7" s="38" t="inlineStr">
        <is>
          <t>One of the most-recommended freestanding 1-person UL tents in CleverHiker/OutdoorGearLab roundups -- true freestanding pole design (not DCF, not trekking-pole-only), light enough to matter, easy livability for a first solo backpacking tent.</t>
        </is>
      </c>
      <c r="M7" s="38" t="inlineStr">
        <is>
          <t>https://www.rei.com/product/C01602/nemo-dragonfly-osmo-1p-ultralight-backpacking-tent</t>
        </is>
      </c>
      <c r="N7" s="38" t="inlineStr">
        <is>
          <t>True freestanding -- no trekking poles/DCF pitch skills required; Well under 2.5 lb; High headroom/livability for the weight</t>
        </is>
      </c>
      <c r="O7" s="38" t="inlineStr">
        <is>
          <t>$499.95 is a real spend for one trip; Still needs practice pitching before the trip</t>
        </is>
      </c>
      <c r="P7" s="38" t="inlineStr">
        <is>
          <t>Freestanding and forgiving for a beginner while being light enough to actually enjoy carrying solo</t>
        </is>
      </c>
      <c r="Q7" s="37" t="n">
        <v>4</v>
      </c>
      <c r="R7" s="37" t="n">
        <v>1</v>
      </c>
      <c r="S7" s="38" t="inlineStr">
        <is>
          <t>2026-09-23: replaces the old shared 2-person Zpacks Duplex (single-wall DCF, beginner_score 2) -- freestanding, beginner-friendly 1-person premium pick, full price, no split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39" t="n">
        <v>25</v>
      </c>
      <c r="G11" s="38" t="inlineStr">
        <is>
          <t>Insulated Static V lists ~25 oz per Klymit specs (Lite version 19.6 oz has lower R-value, check spec before buying — need the full Insulated, not the Lite/Base, to clear R4)</t>
        </is>
      </c>
      <c r="H11" s="40"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1</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1</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1</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5</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5</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5</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5</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5</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5</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5</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5</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5</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https://www.amazon.com/dp/B0CWVSLQ4J</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seatosummit.com product page is dead (site sells nothing directly); replacement is the same Frontier Ultralight Long Handle Spoon on Amazon, same $10.95 price. | 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5</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52.95</v>
      </c>
      <c r="I39" s="41" t="inlineStr">
        <is>
          <t>https://www.rei.com/product/247273/katadyn-befree-ac-10-l-water-filter-bottle</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5</v>
      </c>
      <c r="S39" s="38" t="inlineStr">
        <is>
          <t>Group share $8.83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Old plain BeFree 1.0L listing (product 116364) is dead; REI now only sells the BeFree AC version (adds activated carbon for taste/odor), $52.95 not $44.95 -- price jump is real, not a mispick.</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5</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2.17</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5</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5</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5</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5</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5</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5</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Jordan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5</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5</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5</v>
      </c>
      <c r="S64" s="38" t="inlineStr">
        <is>
          <t>Group share $12.49 — matches existing gear.md pick for base camp</t>
        </is>
      </c>
      <c r="T64">
        <f>A64&amp;"|"&amp;C64</f>
        <v/>
      </c>
    </row>
    <row r="65">
      <c r="A65" s="37" t="inlineStr">
        <is>
          <t>cathole_trowel</t>
        </is>
      </c>
      <c r="B65" s="38" t="inlineStr">
        <is>
          <t>shared cathole trowel</t>
        </is>
      </c>
      <c r="C65" s="37" t="inlineStr">
        <is>
          <t>Budget</t>
        </is>
      </c>
      <c r="D65" s="37" t="inlineStr">
        <is>
          <t>Coghlan's</t>
        </is>
      </c>
      <c r="E65" s="37" t="inlineStr">
        <is>
          <t>Backpackers Trowel</t>
        </is>
      </c>
      <c r="F65" s="39" t="n">
        <v>1.5</v>
      </c>
      <c r="G65" s="38" t="inlineStr">
        <is>
          <t>typical plastic trowel weight ~1.5oz</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5</v>
      </c>
      <c r="S65" s="38" t="inlineStr">
        <is>
          <t>Split 6 ways (shared cathole trowel, carried on the overnight leg) | TIER ODDITY: Budget ($8.75) costs more than Value ($7.95) in this category -- kept as sourced.</t>
        </is>
      </c>
      <c r="T65">
        <f>A65&amp;"|"&amp;C65</f>
        <v/>
      </c>
    </row>
    <row r="66">
      <c r="A66" s="37" t="inlineStr">
        <is>
          <t>cathole_trowel</t>
        </is>
      </c>
      <c r="B66" s="38" t="inlineStr">
        <is>
          <t>shared cathole trowel</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5</v>
      </c>
      <c r="S66" s="38" t="inlineStr">
        <is>
          <t>Split 6 ways (shared cathole trowel, carried on the overnight leg) | TIER ODDITY: Value ($7.95) is cheaper than Budget ($8.75) in this category -- kept as sourced.</t>
        </is>
      </c>
      <c r="T66">
        <f>A66&amp;"|"&amp;C66</f>
        <v/>
      </c>
    </row>
    <row r="67">
      <c r="A67" s="37" t="inlineStr">
        <is>
          <t>cathole_trowel</t>
        </is>
      </c>
      <c r="B67" s="38" t="inlineStr">
        <is>
          <t>shared cathole trowel</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5</v>
      </c>
      <c r="S67" s="38" t="inlineStr">
        <is>
          <t>Split 6 ways (shared cathole trowel, carried on the overnight leg)</t>
        </is>
      </c>
      <c r="T67">
        <f>A67&amp;"|"&amp;C67</f>
        <v/>
      </c>
    </row>
    <row r="68">
      <c r="A68" s="37" t="inlineStr">
        <is>
          <t>toiletries</t>
        </is>
      </c>
      <c r="B68" s="38" t="inlineStr">
        <is>
          <t>personal toiletries/hygiene kit</t>
        </is>
      </c>
      <c r="C68" s="37" t="inlineStr">
        <is>
          <t>Budget</t>
        </is>
      </c>
      <c r="D68" s="37" t="inlineStr">
        <is>
          <t>Generic</t>
        </is>
      </c>
      <c r="E68" s="37" t="inlineStr">
        <is>
          <t>Travel-size toothbrush, toothpaste, TP, hand sanitizer</t>
        </is>
      </c>
      <c r="F68" s="39" t="n">
        <v>3.5</v>
      </c>
      <c r="G68" s="38" t="inlineStr">
        <is>
          <t>small personal hygiene bag, EST from category norms</t>
        </is>
      </c>
      <c r="H68" s="40" t="n">
        <v>3.94</v>
      </c>
      <c r="I68" s="41" t="inlineStr">
        <is>
          <t>https://www.walmart.com/ip/Equate-Travel-Kit-8-Piece-Plastics/831029303</t>
        </is>
      </c>
      <c r="J68" s="38" t="inlineStr">
        <is>
          <t>n/a</t>
        </is>
      </c>
      <c r="K68" s="38" t="inlineStr">
        <is>
          <t>Walmart, Amazon</t>
        </is>
      </c>
      <c r="L68" s="38" t="inlineStr">
        <is>
          <t>Basic drugstore/travel-size toiletries are all a single overnight needs -- no reason to spend more.</t>
        </is>
      </c>
      <c r="M68" s="38" t="inlineStr"/>
      <c r="N68" s="38" t="inlineStr">
        <is>
          <t>Cheap; Covers the one overnight fine</t>
        </is>
      </c>
      <c r="O68" s="38" t="inlineStr">
        <is>
          <t>Travel sizes only, not a full-size refill</t>
        </is>
      </c>
      <c r="P68" s="38" t="inlineStr">
        <is>
          <t>Plenty for one night out</t>
        </is>
      </c>
      <c r="Q68" s="37" t="n">
        <v>5</v>
      </c>
      <c r="R68" s="37" t="n">
        <v>1</v>
      </c>
      <c r="S68" s="38" t="inlineStr">
        <is>
          <t>Personal, full price -- each hiker buys/packs their own. Old direct-slug URL didn't resolve; replacement is Equate's current 8-Piece Travel Kit (empty refillable bottles, not toothbrush/toothpaste/TP bundled) at its real product ID, $3.94 not $6.00 -- fill it with the toothbrush kit and TP already on the buy list.</t>
        </is>
      </c>
      <c r="T68">
        <f>A68&amp;"|"&amp;C68</f>
        <v/>
      </c>
    </row>
    <row r="69">
      <c r="A69" s="37" t="inlineStr">
        <is>
          <t>toiletries</t>
        </is>
      </c>
      <c r="B69" s="38" t="inlineStr">
        <is>
          <t>personal toiletries/hygiene kit</t>
        </is>
      </c>
      <c r="C69" s="37" t="inlineStr">
        <is>
          <t>Value</t>
        </is>
      </c>
      <c r="D69" s="37" t="inlineStr">
        <is>
          <t>Generic</t>
        </is>
      </c>
      <c r="E69" s="37" t="inlineStr">
        <is>
          <t>Small toiletry bag + biodegradable wipes</t>
        </is>
      </c>
      <c r="F69" s="39" t="n">
        <v>4</v>
      </c>
      <c r="G69" s="38" t="inlineStr">
        <is>
          <t>small personal hygiene bag with wipes, EST from category norms</t>
        </is>
      </c>
      <c r="H69" s="40" t="n">
        <v>9</v>
      </c>
      <c r="I69" s="41" t="inlineStr">
        <is>
          <t>https://www.amazon.com/s?k=biodegradable+camp+wipes+travel+toiletry+kit</t>
        </is>
      </c>
      <c r="J69" s="38" t="inlineStr">
        <is>
          <t>n/a</t>
        </is>
      </c>
      <c r="K69" s="38" t="inlineStr">
        <is>
          <t>Amazon, REI</t>
        </is>
      </c>
      <c r="L69" s="38" t="inlineStr">
        <is>
          <t>Adding biodegradable wipes is a common r/backpacking upgrade over toothbrush-only for a sweaty overnight.</t>
        </is>
      </c>
      <c r="M69" s="38" t="inlineStr"/>
      <c r="N69" s="38" t="inlineStr">
        <is>
          <t>Wipes help with the one-night no-shower stretch</t>
        </is>
      </c>
      <c r="O69" s="38" t="inlineStr">
        <is>
          <t>Slightly heavier/bulkier than the bare minimum</t>
        </is>
      </c>
      <c r="P69" s="38" t="inlineStr">
        <is>
          <t>Good middle choice</t>
        </is>
      </c>
      <c r="Q69" s="37" t="n">
        <v>5</v>
      </c>
      <c r="R69" s="37" t="n">
        <v>1</v>
      </c>
      <c r="S69" s="38" t="inlineStr">
        <is>
          <t>Personal, full price -- each hiker buys/packs their own</t>
        </is>
      </c>
      <c r="T69">
        <f>A69&amp;"|"&amp;C69</f>
        <v/>
      </c>
    </row>
    <row r="70">
      <c r="A70" s="37" t="inlineStr">
        <is>
          <t>toiletries</t>
        </is>
      </c>
      <c r="B70" s="38" t="inlineStr">
        <is>
          <t>personal toiletries/hygiene kit</t>
        </is>
      </c>
      <c r="C70" s="37" t="inlineStr">
        <is>
          <t>Premium</t>
        </is>
      </c>
      <c r="D70" s="37" t="inlineStr">
        <is>
          <t>Generic</t>
        </is>
      </c>
      <c r="E70" s="37" t="inlineStr">
        <is>
          <t>Ultralight toiletry kit + pack towel wipes + sunscreen/lip balm travel set</t>
        </is>
      </c>
      <c r="F70" s="39" t="n">
        <v>5</v>
      </c>
      <c r="G70" s="38" t="inlineStr">
        <is>
          <t>fuller personal hygiene kit, EST from category norms</t>
        </is>
      </c>
      <c r="H70" s="40" t="n">
        <v>15</v>
      </c>
      <c r="I70" s="41" t="inlineStr">
        <is>
          <t>https://www.rei.com/c/travel-toiletry-bags</t>
        </is>
      </c>
      <c r="J70" s="38" t="inlineStr">
        <is>
          <t>n/a</t>
        </is>
      </c>
      <c r="K70" s="38" t="inlineStr">
        <is>
          <t>REI, Amazon</t>
        </is>
      </c>
      <c r="L70" s="38" t="inlineStr">
        <is>
          <t>A fuller kit for anyone who wants more than the bare minimum; not required for a one-night trip.</t>
        </is>
      </c>
      <c r="M70" s="38" t="inlineStr"/>
      <c r="N70" s="38" t="inlineStr">
        <is>
          <t>Most complete personal kit</t>
        </is>
      </c>
      <c r="O70" s="38" t="inlineStr">
        <is>
          <t>Overkill for a single overnight</t>
        </is>
      </c>
      <c r="P70" s="38" t="inlineStr">
        <is>
          <t>Nice but not necessary for one overnight</t>
        </is>
      </c>
      <c r="Q70" s="37" t="n">
        <v>4</v>
      </c>
      <c r="R70" s="37" t="n">
        <v>1</v>
      </c>
      <c r="S70" s="38" t="inlineStr">
        <is>
          <t>Personal, full price -- each hiker buys/packs their own</t>
        </is>
      </c>
      <c r="T70">
        <f>A70&amp;"|"&amp;C70</f>
        <v/>
      </c>
    </row>
    <row r="71">
      <c r="A71" s="37" t="inlineStr">
        <is>
          <t>trekking poles</t>
        </is>
      </c>
      <c r="B71" s="38" t="inlineStr">
        <is>
          <t>personal trekking poles</t>
        </is>
      </c>
      <c r="C71" s="37" t="inlineStr">
        <is>
          <t>Budget</t>
        </is>
      </c>
      <c r="D71" s="37" t="inlineStr">
        <is>
          <t>TrailBuddy</t>
        </is>
      </c>
      <c r="E71" s="37" t="inlineStr">
        <is>
          <t>Aluminum adjustable trekking poles (pair)</t>
        </is>
      </c>
      <c r="F71" s="39" t="n">
        <v>18</v>
      </c>
      <c r="G71" s="38" t="inlineStr">
        <is>
          <t>typical aluminum adjustable pole pair weight per category comparisons; EST from category norms</t>
        </is>
      </c>
      <c r="H71" s="40" t="n">
        <v>49.99</v>
      </c>
      <c r="I71" s="41" t="inlineStr">
        <is>
          <t>https://www.amazon.com/dp/B07C46QPTR</t>
        </is>
      </c>
      <c r="J71" s="38" t="inlineStr">
        <is>
          <t>$15-22</t>
        </is>
      </c>
      <c r="K71" s="38" t="inlineStr">
        <is>
          <t>Amazon, Walmart</t>
        </is>
      </c>
      <c r="L71" s="38" t="inlineStr">
        <is>
          <t>Cited in trekking pole roundups as an acceptable entry-level aluminum pole — heavier than carbon options but more impact-resistant (aluminum bends rather than snaps), which some beginners prefer for a first trip.</t>
        </is>
      </c>
      <c r="M71" s="38" t="inlineStr">
        <is>
          <t>https://camplabx.com/reviews/best-trekking-poles/</t>
        </is>
      </c>
      <c r="N71" s="38" t="inlineStr">
        <is>
          <t>Cheap; Aluminum bends instead of snapping under side load</t>
        </is>
      </c>
      <c r="O71" s="38" t="inlineStr">
        <is>
          <t>Noticeably heavier than carbon options</t>
        </is>
      </c>
      <c r="P71" s="38" t="inlineStr">
        <is>
          <t>Fine for a 3-5 mile trail with moderate elevation change</t>
        </is>
      </c>
      <c r="Q71" s="37" t="n">
        <v>5</v>
      </c>
      <c r="R71" s="37" t="n">
        <v>1</v>
      </c>
      <c r="S71" s="38" t="inlineStr"/>
      <c r="T71">
        <f>A71&amp;"|"&amp;C71</f>
        <v/>
      </c>
    </row>
    <row r="72">
      <c r="A72" s="37" t="inlineStr">
        <is>
          <t>trekking poles</t>
        </is>
      </c>
      <c r="B72" s="38" t="inlineStr">
        <is>
          <t>personal trekking poles</t>
        </is>
      </c>
      <c r="C72" s="37" t="inlineStr">
        <is>
          <t>Value</t>
        </is>
      </c>
      <c r="D72" s="37" t="inlineStr">
        <is>
          <t>Cascade Mountain Tech</t>
        </is>
      </c>
      <c r="E72" s="37" t="inlineStr">
        <is>
          <t>Carbon Fiber Quick Lock (pair)</t>
        </is>
      </c>
      <c r="F72" s="39" t="n">
        <v>8.1</v>
      </c>
      <c r="G72" s="38" t="inlineStr">
        <is>
          <t>per CleverHiker/OutdoorGearLab testing, 8.1oz for the pair</t>
        </is>
      </c>
      <c r="H72" s="40" t="n">
        <v>64.98999999999999</v>
      </c>
      <c r="I72" s="41" t="inlineStr">
        <is>
          <t>https://www.amazon.com/dp/B07S4DRDNT</t>
        </is>
      </c>
      <c r="J72" s="38" t="inlineStr">
        <is>
          <t>$28-38</t>
        </is>
      </c>
      <c r="K72" s="38" t="inlineStr">
        <is>
          <t>Costco, Amazon, Cascade Mountain Tech direct</t>
        </is>
      </c>
      <c r="L72"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72" s="38" t="inlineStr">
        <is>
          <t>https://www.cleverhiker.com/backpacking/cascade-mountain-tech-carbon-fiber-quick-lock-review/, https://andrewskurka.com/cascade-mountain-tech-quick-lock-trekking-poles-review/</t>
        </is>
      </c>
      <c r="N72" s="38" t="inlineStr">
        <is>
          <t>Genuinely light carbon shaft at aluminum-budget pricing; Cork grips, tungsten carbide tips</t>
        </is>
      </c>
      <c r="O72" s="38" t="inlineStr">
        <is>
          <t>Lever locks can slip under load — check tension before descents</t>
        </is>
      </c>
      <c r="P72" s="38" t="inlineStr">
        <is>
          <t>Great pick for moderate GA trail terrain; check lock tension before the trip</t>
        </is>
      </c>
      <c r="Q72" s="37" t="n">
        <v>4</v>
      </c>
      <c r="R72" s="37" t="n">
        <v>1</v>
      </c>
      <c r="S72" s="38" t="inlineStr">
        <is>
          <t>Old ASIN listing is dead; replacement is the current Cascade Mountain Tech Carbon Fiber Quick Lock poles listing, same product line, $64.99 not $51.98 -- flagging the jump.</t>
        </is>
      </c>
      <c r="T72">
        <f>A72&amp;"|"&amp;C72</f>
        <v/>
      </c>
    </row>
    <row r="73">
      <c r="A73" s="37" t="inlineStr">
        <is>
          <t>trekking poles</t>
        </is>
      </c>
      <c r="B73" s="38" t="inlineStr">
        <is>
          <t>personal trekking poles</t>
        </is>
      </c>
      <c r="C73" s="37" t="inlineStr">
        <is>
          <t>Premium</t>
        </is>
      </c>
      <c r="D73" s="37" t="inlineStr">
        <is>
          <t>Black Diamond</t>
        </is>
      </c>
      <c r="E73" s="37" t="inlineStr">
        <is>
          <t>Distance Carbon Z (pair)</t>
        </is>
      </c>
      <c r="F73" s="39" t="n">
        <v>10.9</v>
      </c>
      <c r="G73" s="38" t="inlineStr">
        <is>
          <t>Black Diamond spec ~10.9oz/310g per pair (folding Z-pole design)</t>
        </is>
      </c>
      <c r="H73" s="40" t="n">
        <v>219.95</v>
      </c>
      <c r="I73" s="41" t="inlineStr">
        <is>
          <t>https://www.rei.com/product/246033/black-diamond-distance-carbon-z-trekking-poles-pair</t>
        </is>
      </c>
      <c r="J73" s="38" t="inlineStr">
        <is>
          <t>$110-140</t>
        </is>
      </c>
      <c r="K73" s="38" t="inlineStr">
        <is>
          <t>REI, Black Diamond direct, Backcountry</t>
        </is>
      </c>
      <c r="L73"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3" s="38" t="inlineStr">
        <is>
          <t>https://www.reddit.com/r/Ultralight/</t>
        </is>
      </c>
      <c r="N73" s="38" t="inlineStr">
        <is>
          <t>Folds very small — easy to stash while panning; Reliable, no lock-slip issue; Genuinely light</t>
        </is>
      </c>
      <c r="O73" s="38" t="inlineStr">
        <is>
          <t>Expensive; Fixed length per pole size (less adjustable than telescoping poles)</t>
        </is>
      </c>
      <c r="P73" s="38" t="inlineStr">
        <is>
          <t>Nice if poles need to be quickly stowed for creek panning work, but not required for this trip</t>
        </is>
      </c>
      <c r="Q73" s="37" t="n">
        <v>3</v>
      </c>
      <c r="R73" s="37" t="n">
        <v>1</v>
      </c>
      <c r="S73" s="38" t="inlineStr"/>
      <c r="T73">
        <f>A73&amp;"|"&amp;C73</f>
        <v/>
      </c>
    </row>
    <row r="74">
      <c r="A74" s="37" t="inlineStr">
        <is>
          <t>sit pad</t>
        </is>
      </c>
      <c r="B74" s="38" t="inlineStr">
        <is>
          <t>personal sit pad</t>
        </is>
      </c>
      <c r="C74" s="37" t="inlineStr">
        <is>
          <t>Budget</t>
        </is>
      </c>
      <c r="D74" s="37" t="inlineStr">
        <is>
          <t>DIY</t>
        </is>
      </c>
      <c r="E74" s="37" t="inlineStr">
        <is>
          <t>Cut piece of leftover closed-cell foam pad</t>
        </is>
      </c>
      <c r="F74" s="39" t="n">
        <v>1</v>
      </c>
      <c r="G74" s="38" t="inlineStr">
        <is>
          <t>EST — small cut piece of CCF foam, typical DIY weight</t>
        </is>
      </c>
      <c r="H74" s="40" t="n">
        <v>0</v>
      </c>
      <c r="I74" s="41" t="inlineStr">
        <is>
          <t>https://www.amazon.com/Hit-Delights-Backpacking-Insulation-Lightweight/dp/B06XCWC6T9</t>
        </is>
      </c>
      <c r="J74" s="38" t="inlineStr">
        <is>
          <t>n/a</t>
        </is>
      </c>
      <c r="K74" s="38" t="inlineStr">
        <is>
          <t>scrap cut from any CCF sleeping pad (link is a cheap CCF pad to cut from if none on hand, ~$11)</t>
        </is>
      </c>
      <c r="L74" s="38" t="inlineStr">
        <is>
          <t>A near-universal r/Ultralight DIY move — cut a small rectangle off a cheap CCF foam pad (or a leftover packaging foam scrap) instead of buying a dedicated sit pad; costs nothing and works identically.</t>
        </is>
      </c>
      <c r="M74" s="38" t="inlineStr">
        <is>
          <t>https://www.reddit.com/r/Ultralight/</t>
        </is>
      </c>
      <c r="N74" s="38" t="inlineStr">
        <is>
          <t>Free if any CCF foam is on hand; Zero functional downside vs. a bought pad</t>
        </is>
      </c>
      <c r="O74" s="38" t="inlineStr">
        <is>
          <t>Less polished/finished edges than a purpose-made pad</t>
        </is>
      </c>
      <c r="P74" s="38" t="inlineStr">
        <is>
          <t>Perfectly fine for sitting on cold/wet ground at the creek or camp</t>
        </is>
      </c>
      <c r="Q74" s="37" t="n">
        <v>5</v>
      </c>
      <c r="R74" s="37" t="n">
        <v>1</v>
      </c>
      <c r="S74" s="38" t="inlineStr"/>
      <c r="T74">
        <f>A74&amp;"|"&amp;C74</f>
        <v/>
      </c>
    </row>
    <row r="75">
      <c r="A75" s="37" t="inlineStr">
        <is>
          <t>sit pad</t>
        </is>
      </c>
      <c r="B75" s="38" t="inlineStr">
        <is>
          <t>personal sit pad</t>
        </is>
      </c>
      <c r="C75" s="37" t="inlineStr">
        <is>
          <t>Value</t>
        </is>
      </c>
      <c r="D75" s="37" t="inlineStr">
        <is>
          <t>Therm-a-Rest</t>
        </is>
      </c>
      <c r="E75" s="37" t="inlineStr">
        <is>
          <t>Z Seat</t>
        </is>
      </c>
      <c r="F75" s="39" t="n">
        <v>2</v>
      </c>
      <c r="G75" s="38" t="inlineStr">
        <is>
          <t>Therm-a-Rest spec 2oz/56g</t>
        </is>
      </c>
      <c r="H75" s="40" t="n">
        <v>34.28</v>
      </c>
      <c r="I75" s="41" t="inlineStr">
        <is>
          <t>https://www.amazon.com/dp/B07MV959N6</t>
        </is>
      </c>
      <c r="J75" s="38" t="inlineStr">
        <is>
          <t>$10-14</t>
        </is>
      </c>
      <c r="K75" s="38" t="inlineStr">
        <is>
          <t>REI, Therm-a-Rest direct, Amazon</t>
        </is>
      </c>
      <c r="L75" s="38" t="inlineStr">
        <is>
          <t>The classic, most-owned dedicated sit pad in the backpacking community — reflective aluminized coating adds a bit of ground insulation, folds compactly, and rarely gets 'upgraded away from' even by serious UL hikers.</t>
        </is>
      </c>
      <c r="M75" s="38" t="inlineStr">
        <is>
          <t>https://www.reddit.com/r/Ultralight/</t>
        </is>
      </c>
      <c r="N75" s="38" t="inlineStr">
        <is>
          <t>Reflective layer adds real ground insulation; Compact accordion fold; Durable</t>
        </is>
      </c>
      <c r="O75" s="38" t="inlineStr">
        <is>
          <t>Costs money for something a foam scrap does for free</t>
        </is>
      </c>
      <c r="P75" s="38" t="inlineStr">
        <is>
          <t>Good for sitting on cold/wet gravel bars while panning</t>
        </is>
      </c>
      <c r="Q75" s="37" t="n">
        <v>5</v>
      </c>
      <c r="R75" s="37" t="n">
        <v>1</v>
      </c>
      <c r="S75" s="38" t="inlineStr">
        <is>
          <t>Old REI product ID dead; renamed "Z Seat Cushion Insulated Sitting Pad" -- replacement is the same product on Amazon (REI access-blocked on repeated checks), $34.28 not $19.95 -- flagging the jump. | TIER ODDITY: Value ($34.28) costs more than Premium ($22.50) in this category -- kept as sourced, not auto-corrected.</t>
        </is>
      </c>
      <c r="T75">
        <f>A75&amp;"|"&amp;C75</f>
        <v/>
      </c>
    </row>
    <row r="76">
      <c r="A76" s="37" t="inlineStr">
        <is>
          <t>sit pad</t>
        </is>
      </c>
      <c r="B76" s="38" t="inlineStr">
        <is>
          <t>personal sit pad</t>
        </is>
      </c>
      <c r="C76" s="37" t="inlineStr">
        <is>
          <t>Premium</t>
        </is>
      </c>
      <c r="D76" s="37" t="inlineStr">
        <is>
          <t>Gossamer Gear</t>
        </is>
      </c>
      <c r="E76" s="37" t="inlineStr">
        <is>
          <t>1/8in Thinlight Foam Pad (full torso, multi-use)</t>
        </is>
      </c>
      <c r="F76" s="39" t="n">
        <v>2.8</v>
      </c>
      <c r="G76" s="38" t="inlineStr">
        <is>
          <t>Gossamer Gear spec ~2.8oz for the torso-length piece</t>
        </is>
      </c>
      <c r="H76" s="40" t="n">
        <v>22.5</v>
      </c>
      <c r="I76" s="41" t="inlineStr">
        <is>
          <t>https://www.gossamergear.com/products/thinlight-foam-pad</t>
        </is>
      </c>
      <c r="J76" s="38" t="inlineStr">
        <is>
          <t>$12-16</t>
        </is>
      </c>
      <c r="K76" s="38" t="inlineStr">
        <is>
          <t>Gossamer Gear direct, Garage Grown Gear</t>
        </is>
      </c>
      <c r="L76" s="38" t="inlineStr">
        <is>
          <t>The multi-use pick long-distance UL hikers reach for — a full torso-length pad that doubles as a frameless-pack stiffener/frame sheet AND a sit pad/extra sleeping insulation, rather than carrying a dedicated single-purpose sit pad.</t>
        </is>
      </c>
      <c r="M76" s="38" t="inlineStr">
        <is>
          <t>https://www.reddit.com/r/Ultralight/</t>
        </is>
      </c>
      <c r="N76" s="38" t="inlineStr">
        <is>
          <t>Multi-use — pack frame, sit pad, extra sleep insulation; Full torso length gives more usable sitting/kneeling area</t>
        </is>
      </c>
      <c r="O76" s="38" t="inlineStr">
        <is>
          <t>Not a true 'premium' single-purpose product — only worth it if also using a frameless pack</t>
        </is>
      </c>
      <c r="P76" s="38" t="inlineStr">
        <is>
          <t>Most useful if the pack chosen is frameless and benefits from a stiffener; otherwise the Z Seat (value tier) is simpler for this trip</t>
        </is>
      </c>
      <c r="Q76" s="37" t="n">
        <v>3</v>
      </c>
      <c r="R76" s="37" t="n">
        <v>1</v>
      </c>
      <c r="S76" s="38" t="inlineStr">
        <is>
          <t>TIER ODDITY: Premium ($22.50) is cheaper than Value ($34.28) in this category -- kept as sourced.</t>
        </is>
      </c>
      <c r="T76">
        <f>A76&amp;"|"&amp;C76</f>
        <v/>
      </c>
    </row>
    <row r="77">
      <c r="A77" s="37" t="inlineStr">
        <is>
          <t>camp shoes</t>
        </is>
      </c>
      <c r="B77" s="38" t="inlineStr">
        <is>
          <t>personal camp/creek shoes</t>
        </is>
      </c>
      <c r="C77" s="37" t="inlineStr">
        <is>
          <t>Budget</t>
        </is>
      </c>
      <c r="D77" s="37" t="inlineStr">
        <is>
          <t>Alpine Swiss</t>
        </is>
      </c>
      <c r="E77" s="37" t="inlineStr">
        <is>
          <t>Gabe Cloud Slide Sandals</t>
        </is>
      </c>
      <c r="F77" s="39" t="n">
        <v>6</v>
      </c>
      <c r="G77" s="38" t="inlineStr">
        <is>
          <t>typical foam slide pair weight, EST from category norms</t>
        </is>
      </c>
      <c r="H77" s="40" t="n">
        <v>19.99</v>
      </c>
      <c r="I77" s="41" t="inlineStr">
        <is>
          <t>https://www.amazon.com/Alpine-Swiss-Sandals-Adjustable-Athletic/dp/B09G4P66R5</t>
        </is>
      </c>
      <c r="J77" s="38" t="inlineStr">
        <is>
          <t>n/a</t>
        </is>
      </c>
      <c r="K77" s="38" t="inlineStr">
        <is>
          <t>Walmart, Target, Amazon</t>
        </is>
      </c>
      <c r="L77" s="38" t="inlineStr">
        <is>
          <t>Cheap foam slides show up constantly in camp-shoe threads as the 'why spend more' option for just giving your feet a break at camp — functional but not great for wet, uneven creek terrain.</t>
        </is>
      </c>
      <c r="M77" s="38" t="inlineStr">
        <is>
          <t>https://www.reddit.com/r/CampingGear/</t>
        </is>
      </c>
      <c r="N77" s="38" t="inlineStr">
        <is>
          <t>Very cheap; Lets feet dry out and breathe at camp</t>
        </is>
      </c>
      <c r="O77" s="38" t="inlineStr">
        <is>
          <t>Poor traction on wet rocks/gravel; Not secure enough for creek walking</t>
        </is>
      </c>
      <c r="P77" s="38" t="inlineStr">
        <is>
          <t>Fine for around the tent, not recommended for the creek itself (use the dedicated neoprene-sock+sneaker creek setup instead)</t>
        </is>
      </c>
      <c r="Q77" s="37" t="n">
        <v>4</v>
      </c>
      <c r="R77" s="37" t="n">
        <v>1</v>
      </c>
      <c r="S77" s="38" t="inlineStr">
        <is>
          <t>Keep separate from the Kit 3 creek-panning footwear already planned</t>
        </is>
      </c>
      <c r="T77">
        <f>A77&amp;"|"&amp;C77</f>
        <v/>
      </c>
    </row>
    <row r="78">
      <c r="A78" s="37" t="inlineStr">
        <is>
          <t>camp shoes</t>
        </is>
      </c>
      <c r="B78" s="38" t="inlineStr">
        <is>
          <t>personal camp/creek shoes</t>
        </is>
      </c>
      <c r="C78" s="37" t="inlineStr">
        <is>
          <t>Value</t>
        </is>
      </c>
      <c r="D78" s="37" t="inlineStr">
        <is>
          <t>Crocs</t>
        </is>
      </c>
      <c r="E78" s="37" t="inlineStr">
        <is>
          <t>Classic Clog</t>
        </is>
      </c>
      <c r="F78" s="39" t="n">
        <v>12</v>
      </c>
      <c r="G78" s="38" t="inlineStr">
        <is>
          <t>typical Crocs Classic Clog pair weight per size, widely cited around 11-13oz</t>
        </is>
      </c>
      <c r="H78" s="40" t="n">
        <v>49.99</v>
      </c>
      <c r="I78" s="41" t="inlineStr">
        <is>
          <t>https://www.crocs.com/p/classic-clog/10001.html</t>
        </is>
      </c>
      <c r="J78" s="38" t="inlineStr">
        <is>
          <t>$18-25</t>
        </is>
      </c>
      <c r="K78" s="38" t="inlineStr">
        <is>
          <t>Crocs direct, REI, Amazon, DSW</t>
        </is>
      </c>
      <c r="L78"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8" s="38" t="inlineStr">
        <is>
          <t>https://www.reddit.com/r/Ultralight/, https://www.reddit.com/r/backpacking/</t>
        </is>
      </c>
      <c r="N78" s="38" t="inlineStr">
        <is>
          <t>Comfortable, breathable; Secure with the heel strap down; Iconic on-trail camp shoe</t>
        </is>
      </c>
      <c r="O78" s="38" t="inlineStr">
        <is>
          <t>Heavier/bulkier than minimalist sandals; Tread is mediocre on wet rock compared to purpose-built water sandals</t>
        </is>
      </c>
      <c r="P78" s="38" t="inlineStr">
        <is>
          <t>Good for base camp and around the tent after the panning-specific footwear comes off</t>
        </is>
      </c>
      <c r="Q78" s="37" t="n">
        <v>5</v>
      </c>
      <c r="R78" s="37" t="n">
        <v>1</v>
      </c>
      <c r="S78" s="38" t="inlineStr"/>
      <c r="T78">
        <f>A78&amp;"|"&amp;C78</f>
        <v/>
      </c>
    </row>
    <row r="79">
      <c r="A79" s="37" t="inlineStr">
        <is>
          <t>camp shoes</t>
        </is>
      </c>
      <c r="B79" s="38" t="inlineStr">
        <is>
          <t>personal camp/creek shoes</t>
        </is>
      </c>
      <c r="C79" s="37" t="inlineStr">
        <is>
          <t>Premium</t>
        </is>
      </c>
      <c r="D79" s="37" t="inlineStr">
        <is>
          <t>Xero Shoes</t>
        </is>
      </c>
      <c r="E79" s="37" t="inlineStr">
        <is>
          <t>Z-Trail EV Sandals</t>
        </is>
      </c>
      <c r="F79" s="39" t="n">
        <v>8.800000000000001</v>
      </c>
      <c r="G79" s="38" t="inlineStr">
        <is>
          <t>Xero Shoes spec ~8.8oz per pair (size-dependent)</t>
        </is>
      </c>
      <c r="H79" s="40" t="n">
        <v>80</v>
      </c>
      <c r="I79" s="41" t="inlineStr">
        <is>
          <t>https://www.rei.com/product/185226/xero-shoes-z-trail-ev-sandals-mens</t>
        </is>
      </c>
      <c r="J79" s="38" t="inlineStr">
        <is>
          <t>$35-45</t>
        </is>
      </c>
      <c r="K79" s="38" t="inlineStr">
        <is>
          <t>Xero Shoes direct, REI, Amazon</t>
        </is>
      </c>
      <c r="L79" s="38" t="inlineStr">
        <is>
          <t>The minimalist-sandal pick serious UL/thru-hikers reach for over Crocs — lighter, better secured with adjustable straps, and grippier tread for wet creek rock, at the cost of less cushioning than Crocs for just lounging at camp.</t>
        </is>
      </c>
      <c r="M79" s="38" t="inlineStr">
        <is>
          <t>https://www.reddit.com/r/Ultralight/</t>
        </is>
      </c>
      <c r="N79" s="38" t="inlineStr">
        <is>
          <t>Lighter than Crocs; Adjustable straps stay secure on uneven creek terrain; Better wet-rock traction</t>
        </is>
      </c>
      <c r="O79" s="38" t="inlineStr">
        <is>
          <t>Minimal cushioning — less comfortable than Crocs for just relaxing at camp; Pricier</t>
        </is>
      </c>
      <c r="P79" s="38" t="inlineStr">
        <is>
          <t>Good dual-purpose option for both camp lounging and light creek wading (though the dedicated neoprene-sock setup in Kit 3 is still better for extended cold-water panning)</t>
        </is>
      </c>
      <c r="Q79" s="37" t="n">
        <v>4</v>
      </c>
      <c r="R79" s="37" t="n">
        <v>1</v>
      </c>
      <c r="S79" s="38" t="inlineStr"/>
      <c r="T79">
        <f>A79&amp;"|"&amp;C79</f>
        <v/>
      </c>
    </row>
    <row r="80">
      <c r="A80" s="37" t="inlineStr">
        <is>
          <t>hiking_footwear</t>
        </is>
      </c>
      <c r="B80" s="38" t="inlineStr">
        <is>
          <t>Hiking footwear for hiking + repeated creek wading</t>
        </is>
      </c>
      <c r="C80" s="37" t="inlineStr">
        <is>
          <t>Budget</t>
        </is>
      </c>
      <c r="D80" s="37" t="inlineStr">
        <is>
          <t>Generic/thrifted</t>
        </is>
      </c>
      <c r="E80" s="37" t="inlineStr">
        <is>
          <t>Any old/thrifted trail running shoe (mesh upper, non-waterproof)</t>
        </is>
      </c>
      <c r="F80" s="39" t="n">
        <v>24</v>
      </c>
      <c r="G80" s="38" t="inlineStr">
        <is>
          <t>varies, ~1.5 lb/pair typical trail runner</t>
        </is>
      </c>
      <c r="H80" s="40" t="n">
        <v>0</v>
      </c>
      <c r="I80" s="41" t="inlineStr">
        <is>
          <t>https://www.walmart.com/c/kp/trail-running-shoes</t>
        </is>
      </c>
      <c r="J80" s="38" t="inlineStr">
        <is>
          <t>$0 (already owned) - $15 thrift</t>
        </is>
      </c>
      <c r="K80" s="38" t="inlineStr">
        <is>
          <t>thrift store, closet, Walmart</t>
        </is>
      </c>
      <c r="L80" s="38" t="inlineStr">
        <is>
          <t>r/Ultralight and r/WildernessBackpacking consensus is that mesh trail runners that drain and dry fast beat boots for creek work; people who wade a lot just accept wet feet and dry out on the move rather than fighting to keep boots dry.</t>
        </is>
      </c>
      <c r="M80" s="38" t="inlineStr">
        <is>
          <t>https://en.wikipedia.org/wiki/Ultralight_backpacking</t>
        </is>
      </c>
      <c r="N80" s="38" t="inlineStr">
        <is>
          <t>free if already owned; no weight penalty vs boots; dries faster than any boot</t>
        </is>
      </c>
      <c r="O80" s="38" t="inlineStr">
        <is>
          <t>no ankle support; tread may be worn/slick on wet rock; no guarantee of fit</t>
        </is>
      </c>
      <c r="P80"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80" s="37" t="n">
        <v>2</v>
      </c>
      <c r="R80" s="37" t="n">
        <v>1</v>
      </c>
      <c r="S80" s="38" t="inlineStr">
        <is>
          <t>Only use if already broken in — do not wear brand-new unbroken shoes on the trip. Not the recommended default for beginners on this trip; pair with the neoprene wading sock / water shoe options below for cold creek work</t>
        </is>
      </c>
      <c r="T80">
        <f>A80&amp;"|"&amp;C80</f>
        <v/>
      </c>
    </row>
    <row r="81">
      <c r="A81" s="37" t="inlineStr">
        <is>
          <t>hiking_footwear</t>
        </is>
      </c>
      <c r="B81" s="38" t="inlineStr">
        <is>
          <t>Hiking footwear for hiking + repeated creek wading</t>
        </is>
      </c>
      <c r="C81" s="37" t="inlineStr">
        <is>
          <t>Value</t>
        </is>
      </c>
      <c r="D81" s="37" t="inlineStr">
        <is>
          <t>Merrell</t>
        </is>
      </c>
      <c r="E81" s="37" t="inlineStr">
        <is>
          <t>Moab 3</t>
        </is>
      </c>
      <c r="F81" s="39" t="n">
        <v>33</v>
      </c>
      <c r="G81" s="38" t="inlineStr">
        <is>
          <t>2 lb 1 oz/pair men's per Merrell spec</t>
        </is>
      </c>
      <c r="H81" s="40" t="n">
        <v>100.93</v>
      </c>
      <c r="I81" s="41" t="inlineStr">
        <is>
          <t>https://www.rei.com/product/201989/merrell-moab-3-hiking-shoes-mens</t>
        </is>
      </c>
      <c r="J81" s="38" t="inlineStr">
        <is>
          <t>$35-50 on eBay/GearTrade used</t>
        </is>
      </c>
      <c r="K81" s="38" t="inlineStr">
        <is>
          <t>REI, Merrell.com, Amazon, Men's Journal deal link</t>
        </is>
      </c>
      <c r="L81" s="38" t="inlineStr">
        <is>
          <t>Moab 3 is repeatedly cited as the 'good enough at a great price' hiking shoe across r/WildernessBackpacking and r/backpacking threads — supportive, grippy on wet rock, breaks in with minimal effort, and goes on sale often ($60-85).</t>
        </is>
      </c>
      <c r="M81" s="38" t="inlineStr">
        <is>
          <t>https://www.mensjournal.com/shopping/merrell-moab-3-hiking-shoes-sale-february-2026, https://www.switchbacktravel.com/footwear/altra-lone-peak-review</t>
        </is>
      </c>
      <c r="N81" s="38" t="inlineStr">
        <is>
          <t>excellent wet-rock traction; wide size range; frequently discounted</t>
        </is>
      </c>
      <c r="O81" s="38" t="inlineStr">
        <is>
          <t>takes longer to dry than a true trail runner; heavier than UL options</t>
        </is>
      </c>
      <c r="P81" s="38" t="inlineStr">
        <is>
          <t>Good middle ground — enough support for the 3-5 mi overnight hike, Vibram sole grips creek gravel well</t>
        </is>
      </c>
      <c r="Q81" s="37" t="n">
        <v>4</v>
      </c>
      <c r="R81" s="37" t="n">
        <v>1</v>
      </c>
      <c r="S81" s="38" t="inlineStr">
        <is>
          <t>Buy true to size, order 1/2 size up if wearing thick wool socks</t>
        </is>
      </c>
      <c r="T81">
        <f>A81&amp;"|"&amp;C81</f>
        <v/>
      </c>
    </row>
    <row r="82">
      <c r="A82" s="37" t="inlineStr">
        <is>
          <t>hiking_footwear</t>
        </is>
      </c>
      <c r="B82" s="38" t="inlineStr">
        <is>
          <t>Hiking footwear for hiking + repeated creek wading</t>
        </is>
      </c>
      <c r="C82" s="37" t="inlineStr">
        <is>
          <t>Premium</t>
        </is>
      </c>
      <c r="D82" s="37" t="inlineStr">
        <is>
          <t>Altra</t>
        </is>
      </c>
      <c r="E82" s="37" t="inlineStr">
        <is>
          <t>Lone Peak 9</t>
        </is>
      </c>
      <c r="F82" s="39" t="n">
        <v>22.5</v>
      </c>
      <c r="G82" s="38" t="inlineStr">
        <is>
          <t>1 lb 6.3 oz/pair men's per REI spec</t>
        </is>
      </c>
      <c r="H82" s="40" t="n">
        <v>145</v>
      </c>
      <c r="I82" s="41" t="inlineStr">
        <is>
          <t>https://www.rei.com/product/241742/altra-lone-peak-9-trail-running-shoes-mens</t>
        </is>
      </c>
      <c r="J82" s="38" t="inlineStr">
        <is>
          <t>$60-90 lightly used on GearTrade/eBay</t>
        </is>
      </c>
      <c r="K82" s="38" t="inlineStr">
        <is>
          <t>REI, Altra.com, Amazon</t>
        </is>
      </c>
      <c r="L82" s="38" t="inlineStr">
        <is>
          <t>Consistently the top-worn shoe in the Halfway Anywhere PCT hiker surveys and the default r/Ultralight recommendation — zero-drop wide toe box, drains and dries fast, and the mesh handles constant wet/dry cycling from creek crossings better than any boot.</t>
        </is>
      </c>
      <c r="M82" s="38" t="inlineStr">
        <is>
          <t>https://www.halfwayanywhere.com/trails/pacific-crest-trail/pct-hiker-survey-2025/, https://www.rei.com/product/241742/altra-lone-peak-9-trail-running-shoes-mens</t>
        </is>
      </c>
      <c r="N82" s="38" t="inlineStr">
        <is>
          <t>fastest drying of the three tiers; wide toe box reduces blisters from wet-sock friction; very light for the support offered</t>
        </is>
      </c>
      <c r="O82" s="38" t="inlineStr">
        <is>
          <t>zero-drop takes adjustment if unused to it; less ankle support than a boot; only ~300-500 mi lifespan</t>
        </is>
      </c>
      <c r="P82" s="38" t="inlineStr">
        <is>
          <t>Best all-around pick for a trip that's equal parts hiking and standing in the creek all day</t>
        </is>
      </c>
      <c r="Q82" s="37" t="n">
        <v>3</v>
      </c>
      <c r="R82" s="37" t="n">
        <v>1</v>
      </c>
      <c r="S82" s="38" t="inlineStr">
        <is>
          <t>Avoid the 9+ GTX waterproof version for this trip — waterproof membranes trap water once wet and take far longer to dry than the non-waterproof version</t>
        </is>
      </c>
      <c r="T82">
        <f>A82&amp;"|"&amp;C82</f>
        <v/>
      </c>
    </row>
    <row r="83">
      <c r="A83" s="37" t="inlineStr">
        <is>
          <t>hiking_socks</t>
        </is>
      </c>
      <c r="B83" s="38" t="inlineStr">
        <is>
          <t>Daily hiking sock (non-wading)</t>
        </is>
      </c>
      <c r="C83" s="37" t="inlineStr">
        <is>
          <t>Budget</t>
        </is>
      </c>
      <c r="D83" s="37" t="inlineStr">
        <is>
          <t>REI Co-op</t>
        </is>
      </c>
      <c r="E83" s="37" t="inlineStr">
        <is>
          <t>Merino Wool Lightweight Hiking Crew (3-pack budget alt)</t>
        </is>
      </c>
      <c r="F83" s="39" t="n">
        <v>2.5</v>
      </c>
      <c r="G83" s="38" t="inlineStr">
        <is>
          <t>per pair, typical crew weight</t>
        </is>
      </c>
      <c r="H83" s="40" t="n">
        <v>8.83</v>
      </c>
      <c r="I83" s="41" t="inlineStr">
        <is>
          <t>https://www.rei.com/product/165398/rei-co-op-merino-wool-lightweight-hiking-crew-socks</t>
        </is>
      </c>
      <c r="J83" s="38" t="inlineStr">
        <is>
          <t>n/a, buy new (socks)</t>
        </is>
      </c>
      <c r="K83" s="38" t="inlineStr">
        <is>
          <t>REI, Amazon</t>
        </is>
      </c>
      <c r="L83" s="38" t="inlineStr">
        <is>
          <t>CleverHiker and GearJunkie both flag REI Co-op merino socks as the budget favorite that still delivers real merino wicking/odor control instead of a cotton-blend sock.</t>
        </is>
      </c>
      <c r="M83" s="38" t="inlineStr">
        <is>
          <t>https://www.cleverhiker.com/apparel/best-hiking-socks/, https://gearjunkie.com/outdoor/hiking/best-hiking-socks</t>
        </is>
      </c>
      <c r="N83" s="38" t="inlineStr">
        <is>
          <t>real merino, not cotton; cheap enough to buy several pairs</t>
        </is>
      </c>
      <c r="O83" s="38" t="inlineStr">
        <is>
          <t>shorter lifespan than Darn Tough; no lifetime warranty</t>
        </is>
      </c>
      <c r="P83" s="38" t="inlineStr">
        <is>
          <t>Fine for hiking days; bring 3+ pairs since wet feet from panning need frequent changes</t>
        </is>
      </c>
      <c r="Q83" s="37" t="n">
        <v>5</v>
      </c>
      <c r="R83" s="37" t="n">
        <v>1</v>
      </c>
      <c r="S83" s="38" t="inlineStr">
        <is>
          <t>No cotton, ever — cotton socks are the #1 cause of cold, blistered feet on this trip</t>
        </is>
      </c>
      <c r="T83">
        <f>A83&amp;"|"&amp;C83</f>
        <v/>
      </c>
    </row>
    <row r="84">
      <c r="A84" s="37" t="inlineStr">
        <is>
          <t>hiking_socks</t>
        </is>
      </c>
      <c r="B84" s="38" t="inlineStr">
        <is>
          <t>Daily hiking sock (non-wading)</t>
        </is>
      </c>
      <c r="C84" s="37" t="inlineStr">
        <is>
          <t>Value</t>
        </is>
      </c>
      <c r="D84" s="37" t="inlineStr">
        <is>
          <t>Darn Tough</t>
        </is>
      </c>
      <c r="E84" s="37" t="inlineStr">
        <is>
          <t>Hiker Micro Crew Midweight with Cushion</t>
        </is>
      </c>
      <c r="F84" s="39" t="n">
        <v>2.6</v>
      </c>
      <c r="G84" s="38" t="inlineStr">
        <is>
          <t>per pair</t>
        </is>
      </c>
      <c r="H84" s="40" t="n">
        <v>25.95</v>
      </c>
      <c r="I84" s="41" t="inlineStr">
        <is>
          <t>https://www.rei.com/product/825037/darn-tough-hiker-micro-crew-cushion-socks-mens</t>
        </is>
      </c>
      <c r="J84" s="38" t="inlineStr">
        <is>
          <t>n/a, buy new (socks)</t>
        </is>
      </c>
      <c r="K84" s="38" t="inlineStr">
        <is>
          <t>REI, Darn Tough, Amazon</t>
        </is>
      </c>
      <c r="L84" s="38" t="inlineStr">
        <is>
          <t>Named the most popular sock on the PCT in Halfway Anywhere's survey data and the default r/Ultralight answer to 'what socks' — the unconditional lifetime warranty means a holed sock gets replaced free, forever.</t>
        </is>
      </c>
      <c r="M84" s="38" t="inlineStr">
        <is>
          <t>https://www.halfwayanywhere.com/trails/pacific-crest-trail/pct-hiker-survey-2025/, https://gearjunkie.com/outdoor/hiking/best-hiking-socks</t>
        </is>
      </c>
      <c r="N84" s="38" t="inlineStr">
        <is>
          <t>lifetime no-questions warranty; durable merino/nylon blend; good cushioning for gravel-bar kneeling</t>
        </is>
      </c>
      <c r="O84" s="38" t="inlineStr">
        <is>
          <t>$26/pair adds up for multiple pairs</t>
        </is>
      </c>
      <c r="P84" s="38" t="inlineStr">
        <is>
          <t>Ideal daily hiking sock; still needs a separate wading/neoprene layer for creek time</t>
        </is>
      </c>
      <c r="Q84" s="37" t="n">
        <v>5</v>
      </c>
      <c r="R84" s="37" t="n">
        <v>1</v>
      </c>
      <c r="S84" s="38" t="inlineStr">
        <is>
          <t>Buy 2-3 pairs: 1 worn, 1 spare, 1 reserved bone-dry for sleep</t>
        </is>
      </c>
      <c r="T84">
        <f>A84&amp;"|"&amp;C84</f>
        <v/>
      </c>
    </row>
    <row r="85">
      <c r="A85" s="37" t="inlineStr">
        <is>
          <t>hiking_socks</t>
        </is>
      </c>
      <c r="B85" s="38" t="inlineStr">
        <is>
          <t>Daily hiking sock (non-wading)</t>
        </is>
      </c>
      <c r="C85" s="37" t="inlineStr">
        <is>
          <t>Premium</t>
        </is>
      </c>
      <c r="D85" s="37" t="inlineStr">
        <is>
          <t>SealSkinz</t>
        </is>
      </c>
      <c r="E85" s="37" t="inlineStr">
        <is>
          <t>Waterproof All Weather Mid Length Sock</t>
        </is>
      </c>
      <c r="F85" s="39" t="n">
        <v>3.2</v>
      </c>
      <c r="G85" s="38" t="inlineStr">
        <is>
          <t>per pair, waterproof membrane sock</t>
        </is>
      </c>
      <c r="H85" s="40" t="n">
        <v>55</v>
      </c>
      <c r="I85" s="41" t="inlineStr">
        <is>
          <t>https://www.sealskinzusa.com/products/waterproof-all-weather-mid-length-sock</t>
        </is>
      </c>
      <c r="J85" s="38" t="inlineStr">
        <is>
          <t>$25-35 used on eBay</t>
        </is>
      </c>
      <c r="K85" s="38" t="inlineStr">
        <is>
          <t>REI, Amazon, SealSkinz.com</t>
        </is>
      </c>
      <c r="L85" s="38" t="inlineStr">
        <is>
          <t>Backpacking and fly-fishing forums recommend waterproof membrane socks as a way to cross ankle-deep water in trail runners without soaking your feet — not a panning glove-level solution but useful for the hike in/out through wet ground.</t>
        </is>
      </c>
      <c r="M85" s="38" t="inlineStr">
        <is>
          <t>https://www.switchbacktravel.com/best-hiking-socks</t>
        </is>
      </c>
      <c r="N85" s="38" t="inlineStr">
        <is>
          <t>keeps feet dry through shallow splashes/dew/mud on the trail; doubles as an extra warm layer at camp</t>
        </is>
      </c>
      <c r="O85" s="38" t="inlineStr">
        <is>
          <t>not truly submersion-proof — will wick in over the cuff; expensive per pair; less breathable, can get clammy</t>
        </is>
      </c>
      <c r="P85" s="38" t="inlineStr">
        <is>
          <t>Best used for the hike itself, not for standing in the creek panning — pair with dedicated neoprene socks for actual panning</t>
        </is>
      </c>
      <c r="Q85" s="37" t="n">
        <v>3</v>
      </c>
      <c r="R85" s="37" t="n">
        <v>1</v>
      </c>
      <c r="S85" s="38" t="inlineStr">
        <is>
          <t>Overkill for most; the value tier (Darn Tough) plus dedicated neoprene wading socks covers the trip better for less money</t>
        </is>
      </c>
      <c r="T85">
        <f>A85&amp;"|"&amp;C85</f>
        <v/>
      </c>
    </row>
    <row r="86">
      <c r="A86" s="37" t="inlineStr">
        <is>
          <t>rain_jacket</t>
        </is>
      </c>
      <c r="B86" s="38" t="inlineStr">
        <is>
          <t>Rain shell</t>
        </is>
      </c>
      <c r="C86" s="37" t="inlineStr">
        <is>
          <t>Budget</t>
        </is>
      </c>
      <c r="D86" s="37" t="inlineStr">
        <is>
          <t>Columbia</t>
        </is>
      </c>
      <c r="E86" s="37" t="inlineStr">
        <is>
          <t>Watertight II Rain Jacket (Men's)</t>
        </is>
      </c>
      <c r="F86" s="39" t="n">
        <v>12</v>
      </c>
      <c r="G86" s="38" t="inlineStr">
        <is>
          <t>typical packable Omni-Tech shell weight per Columbia/OGL testing</t>
        </is>
      </c>
      <c r="H86" s="40" t="n">
        <v>70</v>
      </c>
      <c r="I86" s="41" t="inlineStr">
        <is>
          <t>https://www.columbia.com/p/mens-watertight-ii-jacket-1533891.html</t>
        </is>
      </c>
      <c r="J86" s="38" t="inlineStr">
        <is>
          <t>$25-35 used/thrift</t>
        </is>
      </c>
      <c r="K86" s="38" t="inlineStr">
        <is>
          <t>Columbia.com, REI, Amazon, Dick's Sporting Goods</t>
        </is>
      </c>
      <c r="L86"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6" s="38" t="inlineStr">
        <is>
          <t>https://www.outdoorgearlab.com/reviews/clothing-mens/rain-jacket-men/columbia-watertight-ii, https://www.columbia.com/p/mens-watertight-ii-jacket-1533891.html</t>
        </is>
      </c>
      <c r="N86" s="38" t="inlineStr">
        <is>
          <t>real waterproof/breathable membrane, not disposable nonwoven; seam-sealed, adjustable hood; durable enough to actually re-wear after this trip</t>
        </is>
      </c>
      <c r="O86" s="38" t="inlineStr">
        <is>
          <t>heavier and less packable than Frogg Toggs; not as breathable as the pricier Value/Premium shells</t>
        </is>
      </c>
      <c r="P86" s="38" t="inlineStr">
        <is>
          <t>Real rain protection for a week of mixed hiking/creek work — sturdier and more durable than a disposable-style shell for 6 first-time backpackers who may not baby their gear</t>
        </is>
      </c>
      <c r="Q86" s="37" t="n">
        <v>5</v>
      </c>
      <c r="R86" s="37" t="n">
        <v>1</v>
      </c>
      <c r="S86"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6">
        <f>A86&amp;"|"&amp;C86</f>
        <v/>
      </c>
    </row>
    <row r="87">
      <c r="A87" s="37" t="inlineStr">
        <is>
          <t>rain_jacket</t>
        </is>
      </c>
      <c r="B87" s="38" t="inlineStr">
        <is>
          <t>Rain shell</t>
        </is>
      </c>
      <c r="C87" s="37" t="inlineStr">
        <is>
          <t>Value</t>
        </is>
      </c>
      <c r="D87" s="37" t="inlineStr">
        <is>
          <t>REI Co-op</t>
        </is>
      </c>
      <c r="E87" s="37" t="inlineStr">
        <is>
          <t>Rainier Rain Jacket</t>
        </is>
      </c>
      <c r="F87" s="39" t="n">
        <v>12.5</v>
      </c>
      <c r="G87" s="38" t="inlineStr">
        <is>
          <t>approx per REI listing, men's</t>
        </is>
      </c>
      <c r="H87" s="40" t="n">
        <v>99.95</v>
      </c>
      <c r="I87" s="41" t="inlineStr">
        <is>
          <t>https://www.rei.com/product/227570/rei-co-op-rainier-rain-jacket-mens</t>
        </is>
      </c>
      <c r="J87" s="38" t="inlineStr">
        <is>
          <t>$40-60 on REI Re/Gear</t>
        </is>
      </c>
      <c r="K87" s="38" t="inlineStr">
        <is>
          <t>REI</t>
        </is>
      </c>
      <c r="L87" s="38" t="inlineStr">
        <is>
          <t>Reviewers and CleverHiker consistently flag REI's own-brand rain shells as the 'bops for the price' pick — real 2.5-layer waterproof fabric, pit zips, and adjustable hood for well under $150 while name-brand equivalents run $200+.</t>
        </is>
      </c>
      <c r="M87" s="38" t="inlineStr">
        <is>
          <t>https://www.cleverhiker.com/apparel/best-hiking-socks/, https://sectionhiker.com/10-best-backpacking-rain-jackets/</t>
        </is>
      </c>
      <c r="N87" s="38" t="inlineStr">
        <is>
          <t>real breathable waterproof membrane, not just coated nylon; pit zips for venting; REI's 1-year satisfaction guarantee</t>
        </is>
      </c>
      <c r="O87" s="38" t="inlineStr">
        <is>
          <t>heavier than true UL shells; less packable than Frogg Toggs</t>
        </is>
      </c>
      <c r="P87" s="38" t="inlineStr">
        <is>
          <t>Good balance of durability and price for a week of mixed hiking/creek work</t>
        </is>
      </c>
      <c r="Q87" s="37" t="n">
        <v>4</v>
      </c>
      <c r="R87" s="37" t="n">
        <v>1</v>
      </c>
      <c r="S87" s="38" t="inlineStr">
        <is>
          <t>Old listing (#127336) is discontinued; replacement is the current-generation Rainier Rain Jacket (#227570), same name/role/price point (product #127336 no longer sold).</t>
        </is>
      </c>
      <c r="T87">
        <f>A87&amp;"|"&amp;C87</f>
        <v/>
      </c>
    </row>
    <row r="88">
      <c r="A88" s="37" t="inlineStr">
        <is>
          <t>rain_jacket</t>
        </is>
      </c>
      <c r="B88" s="38" t="inlineStr">
        <is>
          <t>Rain shell</t>
        </is>
      </c>
      <c r="C88" s="37" t="inlineStr">
        <is>
          <t>Premium</t>
        </is>
      </c>
      <c r="D88" s="37" t="inlineStr">
        <is>
          <t>Outdoor Research</t>
        </is>
      </c>
      <c r="E88" s="37" t="inlineStr">
        <is>
          <t>Helium Rain Jacket</t>
        </is>
      </c>
      <c r="F88" s="39" t="n">
        <v>6.4</v>
      </c>
      <c r="G88" s="38" t="inlineStr">
        <is>
          <t>per OR spec, men's</t>
        </is>
      </c>
      <c r="H88" s="40" t="n">
        <v>199</v>
      </c>
      <c r="I88" s="41" t="inlineStr">
        <is>
          <t>https://www.rei.com/product/166198/outdoor-research-helium-rain-jacket-mens</t>
        </is>
      </c>
      <c r="J88" s="38" t="inlineStr">
        <is>
          <t>$90-130 used on GearTrade</t>
        </is>
      </c>
      <c r="K88" s="38" t="inlineStr">
        <is>
          <t>OutdoorResearch.com, REI, Backcountry</t>
        </is>
      </c>
      <c r="L88" s="38" t="inlineStr">
        <is>
          <t>Treeline Review's 'Best Packable Rain Jacket' winner and a fixture in r/Ultralight rain jacket threads — 2.75-layer Pertex/Dermizax fabric hits a 20,000mm waterproof rating while staying under 6.5 oz, genuinely improving on the old Helium II.</t>
        </is>
      </c>
      <c r="M88" s="38" t="inlineStr">
        <is>
          <t>https://www.treelinereview.com/gearreviews/best-lightweight-rain-jackets, https://thetrek.co/best-backpacking-rain-jackets/</t>
        </is>
      </c>
      <c r="N88" s="38" t="inlineStr">
        <is>
          <t>excellent waterproofing for the weight; durable enough for years of use; packs to fist size</t>
        </is>
      </c>
      <c r="O88" s="38" t="inlineStr">
        <is>
          <t>no pit zips on some versions; $199 is real money for a rain shell</t>
        </is>
      </c>
      <c r="P88" s="38" t="inlineStr">
        <is>
          <t>The endgame pick if this person keeps backpacking after this trip; overkill spend for a one-off week</t>
        </is>
      </c>
      <c r="Q88" s="37" t="n">
        <v>3</v>
      </c>
      <c r="R88" s="37" t="n">
        <v>1</v>
      </c>
      <c r="S88" s="38" t="inlineStr"/>
      <c r="T88">
        <f>A88&amp;"|"&amp;C88</f>
        <v/>
      </c>
    </row>
    <row r="89">
      <c r="A89" s="37" t="inlineStr">
        <is>
          <t>insulated_puffy_jacket</t>
        </is>
      </c>
      <c r="B89" s="38" t="inlineStr">
        <is>
          <t>Insulated jacket, camp/cold layer</t>
        </is>
      </c>
      <c r="C89" s="37" t="inlineStr">
        <is>
          <t>Budget</t>
        </is>
      </c>
      <c r="D89" s="37" t="inlineStr">
        <is>
          <t>Decathlon (Simond, formerly Forclaz)</t>
        </is>
      </c>
      <c r="E89" s="37" t="inlineStr">
        <is>
          <t>MT100 Hooded Down Puffer Jacket</t>
        </is>
      </c>
      <c r="F89" s="39" t="n">
        <v>10.6</v>
      </c>
      <c r="G89" s="38" t="inlineStr">
        <is>
          <t>packable down jacket, per Decathlon/GearJunkie; rebranded from Forclaz to Simond</t>
        </is>
      </c>
      <c r="H89" s="40" t="n">
        <v>80</v>
      </c>
      <c r="I89" s="41" t="inlineStr">
        <is>
          <t>https://www.decathlon.com/products/simond-mt100-hooded-down-puffer-jacket-167571</t>
        </is>
      </c>
      <c r="J89" s="38" t="inlineStr">
        <is>
          <t>$20-30 used</t>
        </is>
      </c>
      <c r="K89" s="38" t="inlineStr">
        <is>
          <t>Decathlon.com, Amazon</t>
        </is>
      </c>
      <c r="L89" s="38" t="inlineStr">
        <is>
          <t>GearJunkie gave the Forclaz MT100 an award for best-for-the-price; the community consensus is it lacks the finish and pocket details of pricier jackets but the RDS-certified down genuinely keeps you warm for a fraction of the cost.</t>
        </is>
      </c>
      <c r="M89" s="38" t="inlineStr">
        <is>
          <t>https://www.adventurealan.com/best-ultralight-puffy-jacket/, https://slickdeals.net/f/17521533-decathlon-forclaz-mt100-hooded-down-puffer-jacket-40</t>
        </is>
      </c>
      <c r="N89" s="38" t="inlineStr">
        <is>
          <t>real down fill, not synthetic batting; packs small; cheapest legit puffy available</t>
        </is>
      </c>
      <c r="O89" s="38" t="inlineStr">
        <is>
          <t>down loses loft when wet — risky for a rainy GA trip; fewer features (pockets, cinches) than name brands</t>
        </is>
      </c>
      <c r="P89" s="38" t="inlineStr">
        <is>
          <t>Usable if kept bone dry in a pack liner; a synthetic option is safer given 'rain possible' in the forecast</t>
        </is>
      </c>
      <c r="Q89" s="37" t="n">
        <v>4</v>
      </c>
      <c r="R89" s="37" t="n">
        <v>1</v>
      </c>
      <c r="S89" s="38" t="inlineStr">
        <is>
          <t>Keep in a dry bag at all times — down that gets wet from rain or a wet pack stops insulating</t>
        </is>
      </c>
      <c r="T89">
        <f>A89&amp;"|"&amp;C89</f>
        <v/>
      </c>
    </row>
    <row r="90">
      <c r="A90" s="37" t="inlineStr">
        <is>
          <t>insulated_puffy_jacket</t>
        </is>
      </c>
      <c r="B90" s="38" t="inlineStr">
        <is>
          <t>Insulated jacket, camp/cold layer</t>
        </is>
      </c>
      <c r="C90" s="37" t="inlineStr">
        <is>
          <t>Value</t>
        </is>
      </c>
      <c r="D90" s="37" t="inlineStr">
        <is>
          <t>Patagonia</t>
        </is>
      </c>
      <c r="E90" s="37" t="inlineStr">
        <is>
          <t>Nano Puff Jacket</t>
        </is>
      </c>
      <c r="F90" s="39" t="n">
        <v>11.6</v>
      </c>
      <c r="G90" s="38" t="inlineStr">
        <is>
          <t>per Patagonia spec, men's, synthetic PrimaLoft fill</t>
        </is>
      </c>
      <c r="H90" s="40" t="n">
        <v>118.99</v>
      </c>
      <c r="I90" s="41" t="inlineStr">
        <is>
          <t>https://www.patagonia.com/product/mens-nano-puff-insulated-jacket/84212.html</t>
        </is>
      </c>
      <c r="J90" s="38" t="inlineStr">
        <is>
          <t>$90-140 used/Patagonia Worn Wear, often $115-145 on sale per Slickdeals</t>
        </is>
      </c>
      <c r="K90" s="38" t="inlineStr">
        <is>
          <t>Patagonia.com (sales), REI, Worn Wear (used)</t>
        </is>
      </c>
      <c r="L90"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90" s="38" t="inlineStr">
        <is>
          <t>https://slickdeals.net/f/19253062-patagonia-nano-puff-115-w-hoody-145-select-colors, https://www.theinertia.com/gear/best-down-puffer-jackets/</t>
        </is>
      </c>
      <c r="N90" s="38" t="inlineStr">
        <is>
          <t>synthetic fill keeps warming even if damp; tough face fabric; Patagonia repair/Worn Wear program extends life</t>
        </is>
      </c>
      <c r="O90" s="38" t="inlineStr">
        <is>
          <t>full retail ($239) is steep; heavier than down-fill options of similar warmth</t>
        </is>
      </c>
      <c r="P90" s="38" t="inlineStr">
        <is>
          <t>Great fit for GA's humid, rain-possible October — synthetic fill is more forgiving than down near a creek</t>
        </is>
      </c>
      <c r="Q90" s="37" t="n">
        <v>4</v>
      </c>
      <c r="R90" s="37" t="n">
        <v>1</v>
      </c>
      <c r="S90" s="38" t="inlineStr">
        <is>
          <t>Watch for sales — this jacket routinely drops to $115-150</t>
        </is>
      </c>
      <c r="T90">
        <f>A90&amp;"|"&amp;C90</f>
        <v/>
      </c>
    </row>
    <row r="91">
      <c r="A91" s="37" t="inlineStr">
        <is>
          <t>insulated_puffy_jacket</t>
        </is>
      </c>
      <c r="B91" s="38" t="inlineStr">
        <is>
          <t>Insulated jacket, camp/cold layer</t>
        </is>
      </c>
      <c r="C91" s="37" t="inlineStr">
        <is>
          <t>Premium</t>
        </is>
      </c>
      <c r="D91" s="37" t="inlineStr">
        <is>
          <t>Enlightened Equipment</t>
        </is>
      </c>
      <c r="E91" s="37" t="inlineStr">
        <is>
          <t>Torrid APEX Jacket</t>
        </is>
      </c>
      <c r="F91" s="39" t="n">
        <v>8.9</v>
      </c>
      <c r="G91" s="38" t="inlineStr">
        <is>
          <t>per Adventure Alan review, synthetic APEX fill</t>
        </is>
      </c>
      <c r="H91" s="40" t="n">
        <v>170</v>
      </c>
      <c r="I91" s="41" t="inlineStr">
        <is>
          <t>https://enlightenedequipment.com/mens-torrid-jacket/</t>
        </is>
      </c>
      <c r="J91" s="38" t="inlineStr">
        <is>
          <t>$100-140 on r/UltralightExchange (cottage gear resells fast, prices firm)</t>
        </is>
      </c>
      <c r="K91" s="38" t="inlineStr">
        <is>
          <t>EnlightenedEquipment.com (made to order)</t>
        </is>
      </c>
      <c r="L91" s="38" t="inlineStr">
        <is>
          <t>Backpacking Light forum threads and Adventure Alan both call the Torrid the best warmth-to-weight synthetic puffy available, edging out even much of the down competition — a genuine cottage-industry cult favorite among thru-hikers.</t>
        </is>
      </c>
      <c r="M91" s="38" t="inlineStr">
        <is>
          <t>https://www.adventurealan.com/enlightened-equipment-torrid-apex-jacket-review/, https://backpackinglight.com/forums/topic/torrid-jacket-v-proton-hoody-v-micro-puff-hoody-v-thermawrap-pro-v-other/</t>
        </is>
      </c>
      <c r="N91" s="38" t="inlineStr">
        <is>
          <t>best-in-class warmth per ounce; synthetic fill is damp-weather safe; cottage-made to your size/color spec</t>
        </is>
      </c>
      <c r="O91" s="38" t="inlineStr">
        <is>
          <t>4-8 week made-to-order lead time — plan ahead or it won't arrive by Oct 15; boxy non-technical fit; no retail stores to try on</t>
        </is>
      </c>
      <c r="P91" s="38" t="inlineStr">
        <is>
          <t>Excellent if ordered with enough lead time; the fit/warmth genuinely suits cold creek-side mornings</t>
        </is>
      </c>
      <c r="Q91" s="37" t="n">
        <v>2</v>
      </c>
      <c r="R91" s="37" t="n">
        <v>1</v>
      </c>
      <c r="S91" s="38" t="inlineStr">
        <is>
          <t>Order now if going this route — cottage lead times can blow the Oct 15 deadline</t>
        </is>
      </c>
      <c r="T91">
        <f>A91&amp;"|"&amp;C91</f>
        <v/>
      </c>
    </row>
    <row r="92">
      <c r="A92" s="37" t="inlineStr">
        <is>
          <t>fleece_midlayer</t>
        </is>
      </c>
      <c r="B92" s="38" t="inlineStr">
        <is>
          <t>Midlayer (fleece/active insulation)</t>
        </is>
      </c>
      <c r="C92" s="37" t="inlineStr">
        <is>
          <t>Budget</t>
        </is>
      </c>
      <c r="D92" s="37" t="inlineStr">
        <is>
          <t>Decathlon (Quechua)</t>
        </is>
      </c>
      <c r="E92" s="37" t="inlineStr">
        <is>
          <t>MH100 Fleece</t>
        </is>
      </c>
      <c r="F92" s="39" t="n">
        <v>12</v>
      </c>
      <c r="G92" s="38" t="inlineStr">
        <is>
          <t>typical 100-weight fleece pullover</t>
        </is>
      </c>
      <c r="H92" s="40" t="n">
        <v>25</v>
      </c>
      <c r="I92" s="41" t="inlineStr">
        <is>
          <t>https://www.decathlon.com/products/mens-hiking-fleece-mh100-312361</t>
        </is>
      </c>
      <c r="J92" s="38" t="inlineStr">
        <is>
          <t>$8-12 used/thrift</t>
        </is>
      </c>
      <c r="K92" s="38" t="inlineStr">
        <is>
          <t>Decathlon.com, thrift stores</t>
        </is>
      </c>
      <c r="L92" s="38" t="inlineStr">
        <is>
          <t>Cited across hiking-gear roundups as the best budget fleece — simple 100-weight polyester that does the job of trapping warmth for a fraction of name-brand fleece prices.</t>
        </is>
      </c>
      <c r="M92" s="38" t="inlineStr">
        <is>
          <t>https://www.skyestoury.com/blog/fleece-mid-layers-hiking-backpacking, https://gearjunkie.com/apparel/best-midlayers-jackets</t>
        </is>
      </c>
      <c r="N92" s="38" t="inlineStr">
        <is>
          <t>cheap; warm enough for GA fall nights; widely available</t>
        </is>
      </c>
      <c r="O92" s="38" t="inlineStr">
        <is>
          <t>heavier than Alpha Direct options; bulkier to pack</t>
        </is>
      </c>
      <c r="P92" s="38" t="inlineStr">
        <is>
          <t>Perfectly adequate layered under the rain shell for low-30s/40s nights</t>
        </is>
      </c>
      <c r="Q92" s="37" t="n">
        <v>5</v>
      </c>
      <c r="R92" s="37" t="n">
        <v>1</v>
      </c>
      <c r="S92" s="38" t="inlineStr">
        <is>
          <t>A thrifted fleece pullover works just as well if already owned</t>
        </is>
      </c>
      <c r="T92">
        <f>A92&amp;"|"&amp;C92</f>
        <v/>
      </c>
    </row>
    <row r="93">
      <c r="A93" s="37" t="inlineStr">
        <is>
          <t>fleece_midlayer</t>
        </is>
      </c>
      <c r="B93" s="38" t="inlineStr">
        <is>
          <t>Midlayer (fleece/active insulation)</t>
        </is>
      </c>
      <c r="C93" s="37" t="inlineStr">
        <is>
          <t>Value</t>
        </is>
      </c>
      <c r="D93" s="37" t="inlineStr">
        <is>
          <t>Senchi Designs</t>
        </is>
      </c>
      <c r="E93" s="37" t="inlineStr">
        <is>
          <t>Alpha 90 Half-Zip Hoodie</t>
        </is>
      </c>
      <c r="F93" s="39" t="n">
        <v>4.8</v>
      </c>
      <c r="G93" s="38" t="inlineStr">
        <is>
          <t>Polartec Alpha Direct, sub-5oz per community reporting</t>
        </is>
      </c>
      <c r="H93" s="40" t="n">
        <v>115</v>
      </c>
      <c r="I93" s="41" t="inlineStr">
        <is>
          <t>https://senchidesigns.com/products/a90-half-zip-hoodie</t>
        </is>
      </c>
      <c r="J93" s="38" t="inlineStr">
        <is>
          <t>$60-80 on r/UltralightExchange</t>
        </is>
      </c>
      <c r="K93" s="38" t="inlineStr">
        <is>
          <t>SenchiDesigns.com (made to order, batch drops)</t>
        </is>
      </c>
      <c r="L93" s="38" t="inlineStr">
        <is>
          <t>Described as 'the standard uniform of thru-hikers across the country' — Alpha Direct fabric gives huge warmth for the weight while staying breathable enough to hike in without overheating, a genuine cult favorite in r/Ultralight midlayer threads.</t>
        </is>
      </c>
      <c r="M93" s="38" t="inlineStr">
        <is>
          <t>https://www.skyestoury.com/blog/fleece-mid-layers-hiking-backpacking</t>
        </is>
      </c>
      <c r="N93" s="38" t="inlineStr">
        <is>
          <t>exceptional warmth-to-weight; breathable enough to wear hiking, not just at camp; very packable</t>
        </is>
      </c>
      <c r="O93" s="38" t="inlineStr">
        <is>
          <t>cottage brand — batch drops mean it may be out of stock; snags easily on brush, less durable face fabric</t>
        </is>
      </c>
      <c r="P93" s="38" t="inlineStr">
        <is>
          <t>Great active midlayer for cold creek mornings that warm into 50s-60s afternoons</t>
        </is>
      </c>
      <c r="Q93" s="37" t="n">
        <v>3</v>
      </c>
      <c r="R93" s="37" t="n">
        <v>1</v>
      </c>
      <c r="S93" s="38" t="inlineStr">
        <is>
          <t>Check SenchiDesigns.com stock/batch dates now — may not be in stock on demand</t>
        </is>
      </c>
      <c r="T93">
        <f>A93&amp;"|"&amp;C93</f>
        <v/>
      </c>
    </row>
    <row r="94">
      <c r="A94" s="37" t="inlineStr">
        <is>
          <t>fleece_midlayer</t>
        </is>
      </c>
      <c r="B94" s="38" t="inlineStr">
        <is>
          <t>Midlayer (fleece/active insulation)</t>
        </is>
      </c>
      <c r="C94" s="37" t="inlineStr">
        <is>
          <t>Premium</t>
        </is>
      </c>
      <c r="D94" s="37" t="inlineStr">
        <is>
          <t>Patagonia</t>
        </is>
      </c>
      <c r="E94" s="37" t="inlineStr">
        <is>
          <t>R1 Air Hoody</t>
        </is>
      </c>
      <c r="F94" s="39" t="n">
        <v>10.5</v>
      </c>
      <c r="G94" s="38" t="inlineStr">
        <is>
          <t>per Patagonia spec</t>
        </is>
      </c>
      <c r="H94" s="40" t="n">
        <v>179</v>
      </c>
      <c r="I94" s="41" t="inlineStr">
        <is>
          <t>https://gearjunkie.com/apparel/best-midlayers-jackets</t>
        </is>
      </c>
      <c r="J94" s="38" t="inlineStr">
        <is>
          <t>$70-110 used on Patagonia Worn Wear/eBay</t>
        </is>
      </c>
      <c r="K94" s="38" t="inlineStr">
        <is>
          <t>Patagonia.com, REI, Backcountry</t>
        </is>
      </c>
      <c r="L94"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4" s="38" t="inlineStr">
        <is>
          <t>https://gearjunkie.com/apparel/best-midlayers-jackets, https://www.switchbacktravel.com/clothing/best-midlayers</t>
        </is>
      </c>
      <c r="N94" s="38" t="inlineStr">
        <is>
          <t>excellent moisture management for sweaty creek-side work; more durable face fabric than cottage Alpha pieces; proven design, widely available</t>
        </is>
      </c>
      <c r="O94" s="38" t="inlineStr">
        <is>
          <t>heavier than the Senchi/Alpha Direct value pick; premium price for a fleece</t>
        </is>
      </c>
      <c r="P94" s="38" t="inlineStr">
        <is>
          <t>Well suited to a week of repeated wet/dry cycling and general durability needs</t>
        </is>
      </c>
      <c r="Q94" s="37" t="n">
        <v>3</v>
      </c>
      <c r="R94" s="37" t="n">
        <v>1</v>
      </c>
      <c r="S94" s="38" t="inlineStr"/>
      <c r="T94">
        <f>A94&amp;"|"&amp;C94</f>
        <v/>
      </c>
    </row>
    <row r="95">
      <c r="A95" s="37" t="inlineStr">
        <is>
          <t>base_layer</t>
        </is>
      </c>
      <c r="B95" s="38" t="inlineStr">
        <is>
          <t>Base layer top + bottom, doubles as sleep layer</t>
        </is>
      </c>
      <c r="C95" s="37" t="inlineStr">
        <is>
          <t>Budget</t>
        </is>
      </c>
      <c r="D95" s="37" t="inlineStr">
        <is>
          <t>Merino.tech</t>
        </is>
      </c>
      <c r="E95" s="37" t="inlineStr">
        <is>
          <t>Men's/Women's Long Sleeve Base Layer Set</t>
        </is>
      </c>
      <c r="F95" s="39" t="n">
        <v>8</v>
      </c>
      <c r="G95" s="38" t="inlineStr">
        <is>
          <t>top+bottom combined, lightweight merino blend</t>
        </is>
      </c>
      <c r="H95" s="40" t="n">
        <v>100</v>
      </c>
      <c r="I95" s="41" t="inlineStr">
        <is>
          <t>https://merino.tech/products/men-250-base-layer-set-wool-clothing</t>
        </is>
      </c>
      <c r="J95" s="38" t="inlineStr">
        <is>
          <t>$25-35 used</t>
        </is>
      </c>
      <c r="K95" s="38" t="inlineStr">
        <is>
          <t>Amazon, Merino.tech</t>
        </is>
      </c>
      <c r="L95" s="38" t="inlineStr">
        <is>
          <t>Reviewers call Merino.tech a good compromise for budget shoppers — genuine 100% merino at roughly half the price of Icebreaker/Smartwool, though the knit is less refined.</t>
        </is>
      </c>
      <c r="M95" s="38" t="inlineStr">
        <is>
          <t>https://mydroneauthority.com/best-merino-wool-base-layers/, https://bikehikesafari.com/best-baselayers/</t>
        </is>
      </c>
      <c r="N95" s="38" t="inlineStr">
        <is>
          <t>real merino, not synthetic-only; odor resistant for a multi-day trip with no laundry; doubles as sleep layer, saving pack weight</t>
        </is>
      </c>
      <c r="O95" s="38" t="inlineStr">
        <is>
          <t>less durable stitching than premium brands; limited size range</t>
        </is>
      </c>
      <c r="P95" s="38" t="inlineStr">
        <is>
          <t>Solid sleep-layer choice for low-30s nights, worn only in the sleeping bag, never worn wet</t>
        </is>
      </c>
      <c r="Q95" s="37" t="n">
        <v>5</v>
      </c>
      <c r="R95" s="37" t="n">
        <v>1</v>
      </c>
      <c r="S95" s="38" t="inlineStr">
        <is>
          <t>Reserve this set exclusively as dry sleep clothes — never wear it panning</t>
        </is>
      </c>
      <c r="T95">
        <f>A95&amp;"|"&amp;C95</f>
        <v/>
      </c>
    </row>
    <row r="96">
      <c r="A96" s="37" t="inlineStr">
        <is>
          <t>base_layer</t>
        </is>
      </c>
      <c r="B96" s="38" t="inlineStr">
        <is>
          <t>Base layer top + bottom, doubles as sleep layer</t>
        </is>
      </c>
      <c r="C96" s="37" t="inlineStr">
        <is>
          <t>Value</t>
        </is>
      </c>
      <c r="D96" s="37" t="inlineStr">
        <is>
          <t>Smartwool</t>
        </is>
      </c>
      <c r="E96" s="37" t="inlineStr">
        <is>
          <t>Classic Thermal Merino Base Layer (top + bottom)</t>
        </is>
      </c>
      <c r="F96" s="39" t="n">
        <v>10</v>
      </c>
      <c r="G96" s="38" t="inlineStr">
        <is>
          <t>combined top+bottom, midweight merino</t>
        </is>
      </c>
      <c r="H96" s="40" t="n">
        <v>125</v>
      </c>
      <c r="I96" s="41" t="inlineStr">
        <is>
          <t>https://www.rei.com/product/174769/smartwool-classic-thermal-merino-crew-base-layer-top-mens</t>
        </is>
      </c>
      <c r="J96" s="38" t="inlineStr">
        <is>
          <t>$40-60 used on Smartwool/eBay</t>
        </is>
      </c>
      <c r="K96" s="38" t="inlineStr">
        <is>
          <t>REI, Smartwool.com, Backcountry</t>
        </is>
      </c>
      <c r="L96" s="38" t="inlineStr">
        <is>
          <t>Called out repeatedly as the budget-conscious merino pick that still performs — breathable, odor-resistant across multiple wear days, and widely stocked so sizing is easy to get right before the trip.</t>
        </is>
      </c>
      <c r="M96" s="38" t="inlineStr">
        <is>
          <t>https://bikehikesafari.com/best-baselayers/, https://www.outdoorgearlab.com/best-base-layer</t>
        </is>
      </c>
      <c r="N96" s="38" t="inlineStr">
        <is>
          <t>reliable fit/sizing since widely sold in stores; good warmth-to-weight for the price; doubles as sleep layer</t>
        </is>
      </c>
      <c r="O96" s="38" t="inlineStr">
        <is>
          <t>not the lightest option; $95 for a set is a real expense</t>
        </is>
      </c>
      <c r="P96" s="38" t="inlineStr">
        <is>
          <t>A comfortable, well-tested choice for the low-30s overnight</t>
        </is>
      </c>
      <c r="Q96" s="37" t="n">
        <v>5</v>
      </c>
      <c r="R96" s="37" t="n">
        <v>1</v>
      </c>
      <c r="S96" s="38" t="inlineStr"/>
      <c r="T96">
        <f>A96&amp;"|"&amp;C96</f>
        <v/>
      </c>
    </row>
    <row r="97">
      <c r="A97" s="37" t="inlineStr">
        <is>
          <t>base_layer</t>
        </is>
      </c>
      <c r="B97" s="38" t="inlineStr">
        <is>
          <t>Base layer top + bottom, doubles as sleep layer</t>
        </is>
      </c>
      <c r="C97" s="37" t="inlineStr">
        <is>
          <t>Premium</t>
        </is>
      </c>
      <c r="D97" s="37" t="inlineStr">
        <is>
          <t>Icebreaker</t>
        </is>
      </c>
      <c r="E97" s="37" t="inlineStr">
        <is>
          <t>200 Oasis (top + bottom)</t>
        </is>
      </c>
      <c r="F97" s="39" t="n">
        <v>11</v>
      </c>
      <c r="G97" s="38" t="inlineStr">
        <is>
          <t>200gsm merino jersey, combined top+bottom</t>
        </is>
      </c>
      <c r="H97" s="40" t="n">
        <v>235</v>
      </c>
      <c r="I97" s="41" t="inlineStr">
        <is>
          <t>https://www.rei.com/product/139520/icebreaker-200-oasis-half-zip-base-layer-top-mens</t>
        </is>
      </c>
      <c r="J97" s="38" t="inlineStr">
        <is>
          <t>$80-120 used</t>
        </is>
      </c>
      <c r="K97" s="38" t="inlineStr">
        <is>
          <t>Icebreaker.com, REI, Backcountry</t>
        </is>
      </c>
      <c r="L97" s="38" t="inlineStr">
        <is>
          <t>Reviewers describe the 200 Oasis as sitting in the sweet spot between too-thin-to-be-warm and too-heavy-to-layer, with 18.9-micron merino that's noticeably softer than budget options straight out of the bag — a favorite dedicated hiking-and-sleeping base layer.</t>
        </is>
      </c>
      <c r="M97" s="38" t="inlineStr">
        <is>
          <t>https://bettertrail.com/outdoor-gear/best-base-layers, https://www.treelinereview.com/gearreviews/best-base-layers</t>
        </is>
      </c>
      <c r="N97" s="38" t="inlineStr">
        <is>
          <t>softest merino of the three tiers; excellent odor resistance over a no-laundry week; versatile enough to double as a light hiking layer on cold mornings</t>
        </is>
      </c>
      <c r="O97" s="38" t="inlineStr">
        <is>
          <t>expensive for what is essentially sleepwear; overkill for a single week-long trip</t>
        </is>
      </c>
      <c r="P97" s="38" t="inlineStr">
        <is>
          <t>Comfortable overkill; nice if already own it, hard to justify buying new for one trip</t>
        </is>
      </c>
      <c r="Q97" s="37" t="n">
        <v>3</v>
      </c>
      <c r="R97" s="37" t="n">
        <v>1</v>
      </c>
      <c r="S97" s="38" t="inlineStr"/>
      <c r="T97">
        <f>A97&amp;"|"&amp;C97</f>
        <v/>
      </c>
    </row>
    <row r="98">
      <c r="A98" s="37" t="inlineStr">
        <is>
          <t>hiking_pants</t>
        </is>
      </c>
      <c r="B98" s="38" t="inlineStr">
        <is>
          <t>Hiking pants (worn, quick-dry, no cotton)</t>
        </is>
      </c>
      <c r="C98" s="37" t="inlineStr">
        <is>
          <t>Budget</t>
        </is>
      </c>
      <c r="D98" s="37" t="inlineStr">
        <is>
          <t>REI Co-op</t>
        </is>
      </c>
      <c r="E98" s="37" t="inlineStr">
        <is>
          <t>Trailmade Pants</t>
        </is>
      </c>
      <c r="F98" s="39" t="n">
        <v>11</v>
      </c>
      <c r="G98" s="38" t="inlineStr">
        <is>
          <t>per REI product listing</t>
        </is>
      </c>
      <c r="H98" s="40" t="n">
        <v>80</v>
      </c>
      <c r="I98" s="41" t="inlineStr">
        <is>
          <t>https://www.rei.com/product/236137/rei-co-op-trailmade-pants-mens</t>
        </is>
      </c>
      <c r="J98" s="38" t="inlineStr">
        <is>
          <t>$25-35 on REI Re/Gear</t>
        </is>
      </c>
      <c r="K98" s="38" t="inlineStr">
        <is>
          <t>REI</t>
        </is>
      </c>
      <c r="L98" s="38" t="inlineStr">
        <is>
          <t>Named a best budget option by REI's own staff picks and repeated in gear roundups — nylon/spandex blend dries fast and holds up to brush and gravel-bar kneeling without the $90+ price of the Ferrosi.</t>
        </is>
      </c>
      <c r="M98" s="38" t="inlineStr">
        <is>
          <t>https://www.rei.com/learn/expert-advice/best-hiking-pants.html, https://www.switchbacktravel.com/best-hiking-pants</t>
        </is>
      </c>
      <c r="N98" s="38" t="inlineStr">
        <is>
          <t>quick-dry nylon, not cotton; good price for real hiking-pant fabric; available in many sizes/inseams at REI</t>
        </is>
      </c>
      <c r="O98" s="38" t="inlineStr">
        <is>
          <t>less stretch than the Ferrosi; fewer pockets</t>
        </is>
      </c>
      <c r="P98" s="38" t="inlineStr">
        <is>
          <t>Fine for daily creek kneeling and the overnight hike; dries overnight by the fire</t>
        </is>
      </c>
      <c r="Q98" s="37" t="n">
        <v>5</v>
      </c>
      <c r="R98" s="37" t="n">
        <v>1</v>
      </c>
      <c r="S98" s="38" t="inlineStr">
        <is>
          <t>No cotton, ever — wet cotton pants next to 50°F creek water is dangerous, not just uncomfortable</t>
        </is>
      </c>
      <c r="T98">
        <f>A98&amp;"|"&amp;C98</f>
        <v/>
      </c>
    </row>
    <row r="99">
      <c r="A99" s="37" t="inlineStr">
        <is>
          <t>hiking_pants</t>
        </is>
      </c>
      <c r="B99" s="38" t="inlineStr">
        <is>
          <t>Hiking pants (worn, quick-dry, no cotton)</t>
        </is>
      </c>
      <c r="C99" s="37" t="inlineStr">
        <is>
          <t>Value</t>
        </is>
      </c>
      <c r="D99" s="37" t="inlineStr">
        <is>
          <t>Outdoor Research</t>
        </is>
      </c>
      <c r="E99" s="37" t="inlineStr">
        <is>
          <t>Ferrosi Pants</t>
        </is>
      </c>
      <c r="F99" s="39" t="n">
        <v>11.4</v>
      </c>
      <c r="G99" s="38" t="inlineStr">
        <is>
          <t>per OGL/Switchback testing</t>
        </is>
      </c>
      <c r="H99" s="40" t="n">
        <v>110</v>
      </c>
      <c r="I99" s="41" t="inlineStr">
        <is>
          <t>https://www.rei.com/product/244516/outdoor-research-ferrosi-pants-mens</t>
        </is>
      </c>
      <c r="J99" s="38" t="inlineStr">
        <is>
          <t>$40-55 used on GearTrade</t>
        </is>
      </c>
      <c r="K99" s="38" t="inlineStr">
        <is>
          <t>REI, OutdoorResearch.com, Backcountry</t>
        </is>
      </c>
      <c r="L99" s="38" t="inlineStr">
        <is>
          <t>Named the best overall men's/women's hiking pant across OutdoorGearLab and Wildland Trekking guides — stretchy woven nylon that moves well for scrambling creek banks and dries quickly after a splash.</t>
        </is>
      </c>
      <c r="M99" s="38" t="inlineStr">
        <is>
          <t>https://www.outdoorgearlab.com/best-hiking-pants, https://wildlandtrekking.com/wildland-gear-guide/best-hiking-pants/</t>
        </is>
      </c>
      <c r="N99" s="38" t="inlineStr">
        <is>
          <t>best-in-class stretch and mobility for kneeling/scrambling; durable ripstop fabric; dries fast</t>
        </is>
      </c>
      <c r="O99" s="38" t="inlineStr">
        <is>
          <t>pricier than the Trailmade; not insulated for cold mornings alone</t>
        </is>
      </c>
      <c r="P99" s="38" t="inlineStr">
        <is>
          <t>Great fit for a trip mixing hiking, creek kneeling, and gravel-bar scrambling</t>
        </is>
      </c>
      <c r="Q99" s="37" t="n">
        <v>4</v>
      </c>
      <c r="R99" s="37" t="n">
        <v>1</v>
      </c>
      <c r="S99" s="38" t="inlineStr">
        <is>
          <t>TIER ODDITY: Value ($110.00) costs more than Premium ($98.00) in this category -- kept as sourced, not auto-corrected.</t>
        </is>
      </c>
      <c r="T99">
        <f>A99&amp;"|"&amp;C99</f>
        <v/>
      </c>
    </row>
    <row r="100">
      <c r="A100" s="37" t="inlineStr">
        <is>
          <t>hiking_pants</t>
        </is>
      </c>
      <c r="B100" s="38" t="inlineStr">
        <is>
          <t>Hiking pants (worn, quick-dry, no cotton)</t>
        </is>
      </c>
      <c r="C100" s="37" t="inlineStr">
        <is>
          <t>Premium</t>
        </is>
      </c>
      <c r="D100" s="37" t="inlineStr">
        <is>
          <t>prAna</t>
        </is>
      </c>
      <c r="E100" s="37" t="inlineStr">
        <is>
          <t>Stretch Zion Straight Pants (cargo version discontinued, replaced by current lineup)</t>
        </is>
      </c>
      <c r="F100" s="39" t="n">
        <v>14</v>
      </c>
      <c r="G100" s="38" t="inlineStr">
        <is>
          <t>per prAna spec, recycled nylon</t>
        </is>
      </c>
      <c r="H100" s="40" t="n">
        <v>98</v>
      </c>
      <c r="I100" s="41" t="inlineStr">
        <is>
          <t>https://www.rei.com/product/134025/prana-stretch-zion-straight-pants-mens</t>
        </is>
      </c>
      <c r="J100" s="38" t="inlineStr">
        <is>
          <t>$50-70 used on Poshmark/eBay</t>
        </is>
      </c>
      <c r="K100" s="38" t="inlineStr">
        <is>
          <t>REI, prAna.com</t>
        </is>
      </c>
      <c r="L100" s="38" t="inlineStr">
        <is>
          <t>A long-time community favorite for durability and comfort, especially among climbers and prospectors who need a pant that survives constant kneeling on gravel — the DWR-treated recycled nylon fabric wicks and dries quickly while shrugging off abrasion.</t>
        </is>
      </c>
      <c r="M100" s="38" t="inlineStr">
        <is>
          <t>https://www.rei.com/b/prana/c/mens-hiking-pants</t>
        </is>
      </c>
      <c r="N100" s="38" t="inlineStr">
        <is>
          <t>most durable/abrasion-resistant of the three tiers; cargo pockets useful for vials/tools in the field; DWR finish sheds light rain and splashes</t>
        </is>
      </c>
      <c r="O100" s="38" t="inlineStr">
        <is>
          <t>heaviest of the three options; premium price for pants</t>
        </is>
      </c>
      <c r="P100" s="38" t="inlineStr">
        <is>
          <t>Excellent for repeated kneeling on gravel bars over multiple days</t>
        </is>
      </c>
      <c r="Q100" s="37" t="n">
        <v>4</v>
      </c>
      <c r="R100" s="37" t="n">
        <v>1</v>
      </c>
      <c r="S100" s="38" t="inlineStr">
        <is>
          <t>TIER ODDITY: Premium ($98.00) is cheaper than Value ($110.00) in this category -- kept as sourced.</t>
        </is>
      </c>
      <c r="T100">
        <f>A100&amp;"|"&amp;C100</f>
        <v/>
      </c>
    </row>
    <row r="101">
      <c r="A101" s="37" t="inlineStr">
        <is>
          <t>sun_warm_hat_beanie</t>
        </is>
      </c>
      <c r="B101" s="38" t="inlineStr">
        <is>
          <t>Warm hat / beanie (layered under blaze orange as needed)</t>
        </is>
      </c>
      <c r="C101" s="37" t="inlineStr">
        <is>
          <t>Budget</t>
        </is>
      </c>
      <c r="D101" s="37" t="inlineStr">
        <is>
          <t>Generic</t>
        </is>
      </c>
      <c r="E101" s="37" t="inlineStr">
        <is>
          <t>Fleece-lined knit beanie</t>
        </is>
      </c>
      <c r="F101" s="39" t="n">
        <v>2</v>
      </c>
      <c r="G101" s="38" t="inlineStr">
        <is>
          <t>typical knit beanie</t>
        </is>
      </c>
      <c r="H101" s="40" t="n">
        <v>14.99</v>
      </c>
      <c r="I101" s="41" t="inlineStr">
        <is>
          <t>https://www.amazon.com/Wmcaps-Winter-Beanie-Hats-for-Men-Women-Fleece-Lined-Beanie-Soft-Warm-Knit-Hat-Ski-Stocking-Cuffed-Cap/dp/B0BBZZZH84</t>
        </is>
      </c>
      <c r="J101" s="38" t="inlineStr">
        <is>
          <t>$2-5 thrift</t>
        </is>
      </c>
      <c r="K101" s="38" t="inlineStr">
        <is>
          <t>Walmart, Amazon, thrift stores</t>
        </is>
      </c>
      <c r="L101" s="38" t="inlineStr">
        <is>
          <t>A basic fleece-lined beanie covers cold-morning warmth needs for the price of a coffee; no community debate here — it's a solved, cheap problem.</t>
        </is>
      </c>
      <c r="M101" s="38" t="inlineStr">
        <is>
          <t>https://www.iheartpacificnorthwest.com/blog_post/hats-gloves-and-neck-gaiters-for-hiking/</t>
        </is>
      </c>
      <c r="N101" s="38" t="inlineStr">
        <is>
          <t>cheap; warm enough for low-30s nights under a hood</t>
        </is>
      </c>
      <c r="O101" s="38" t="inlineStr">
        <is>
          <t>bulkier/heavier than technical fleece options; not blaze orange — pair with the separate hunting-orange hat during daylight hours in the field</t>
        </is>
      </c>
      <c r="P101" s="38" t="inlineStr">
        <is>
          <t>Good camp/sleep hat; wear the blaze-orange hat (separate category) while actively moving in the woods during hunting season</t>
        </is>
      </c>
      <c r="Q101" s="37" t="n">
        <v>5</v>
      </c>
      <c r="R101" s="37" t="n">
        <v>1</v>
      </c>
      <c r="S101" s="38" t="inlineStr"/>
      <c r="T101">
        <f>A101&amp;"|"&amp;C101</f>
        <v/>
      </c>
    </row>
    <row r="102">
      <c r="A102" s="37" t="inlineStr">
        <is>
          <t>sun_warm_hat_beanie</t>
        </is>
      </c>
      <c r="B102" s="38" t="inlineStr">
        <is>
          <t>Warm hat / beanie (layered under blaze orange as needed)</t>
        </is>
      </c>
      <c r="C102" s="37" t="inlineStr">
        <is>
          <t>Value</t>
        </is>
      </c>
      <c r="D102" s="37" t="inlineStr">
        <is>
          <t>FarPointe Outdoor Gear</t>
        </is>
      </c>
      <c r="E102" s="37" t="inlineStr">
        <is>
          <t>Alpha Drifter Beanie</t>
        </is>
      </c>
      <c r="F102" s="39" t="n">
        <v>0.7</v>
      </c>
      <c r="G102" s="38" t="inlineStr">
        <is>
          <t>Polartec Alpha Direct, sub-1oz per community reporting</t>
        </is>
      </c>
      <c r="H102" s="40" t="n">
        <v>38</v>
      </c>
      <c r="I102" s="41" t="inlineStr">
        <is>
          <t>https://www.farpointeog.com/stock/p/alpha-caps</t>
        </is>
      </c>
      <c r="J102" s="38" t="inlineStr">
        <is>
          <t>$15-20 used on r/UltralightExchange</t>
        </is>
      </c>
      <c r="K102" s="38" t="inlineStr">
        <is>
          <t>FarPointeOutdoor.com</t>
        </is>
      </c>
      <c r="L102" s="38" t="inlineStr">
        <is>
          <t>Repeatedly named the top ultralight warm-hat pick in r/Ultralight gear threads — Alpha Direct has the best warmth-to-weight and dries almost instantly if it gets damp from sweat or rain.</t>
        </is>
      </c>
      <c r="M102" s="38" t="inlineStr">
        <is>
          <t>https://www.adventurealan.com/best-hiking-hats/</t>
        </is>
      </c>
      <c r="N102" s="38" t="inlineStr">
        <is>
          <t>remarkably warm for well under an ounce; dries almost instantly; packs to nothing</t>
        </is>
      </c>
      <c r="O102" s="38" t="inlineStr">
        <is>
          <t>cottage brand, limited stock; not windproof on its own</t>
        </is>
      </c>
      <c r="P102" s="38" t="inlineStr">
        <is>
          <t>Great choice for layering under a jacket hood on cold mornings at the creek</t>
        </is>
      </c>
      <c r="Q102" s="37" t="n">
        <v>4</v>
      </c>
      <c r="R102" s="37" t="n">
        <v>1</v>
      </c>
      <c r="S102" s="38" t="inlineStr">
        <is>
          <t>TIER ODDITY: Value ($38.00) costs more than Premium ($35.00) in this category -- kept as sourced, not auto-corrected.</t>
        </is>
      </c>
      <c r="T102">
        <f>A102&amp;"|"&amp;C102</f>
        <v/>
      </c>
    </row>
    <row r="103">
      <c r="A103" s="37" t="inlineStr">
        <is>
          <t>sun_warm_hat_beanie</t>
        </is>
      </c>
      <c r="B103" s="38" t="inlineStr">
        <is>
          <t>Warm hat / beanie (layered under blaze orange as needed)</t>
        </is>
      </c>
      <c r="C103" s="37" t="inlineStr">
        <is>
          <t>Premium</t>
        </is>
      </c>
      <c r="D103" s="37" t="inlineStr">
        <is>
          <t>Smartwool</t>
        </is>
      </c>
      <c r="E103" s="37" t="inlineStr">
        <is>
          <t>Merino 250 Reversible Cuffed Beanie</t>
        </is>
      </c>
      <c r="F103" s="39" t="n">
        <v>2.1</v>
      </c>
      <c r="G103" s="38" t="inlineStr">
        <is>
          <t>per Smartwool spec</t>
        </is>
      </c>
      <c r="H103" s="40" t="n">
        <v>35</v>
      </c>
      <c r="I103" s="41" t="inlineStr">
        <is>
          <t>https://www.rei.com/product/217179/smartwool-merino-250-reversible-pattern-cuffed-beanie</t>
        </is>
      </c>
      <c r="J103" s="38" t="inlineStr">
        <is>
          <t>$15-20 used</t>
        </is>
      </c>
      <c r="K103" s="38" t="inlineStr">
        <is>
          <t>REI, Smartwool.com</t>
        </is>
      </c>
      <c r="L103" s="38" t="inlineStr">
        <is>
          <t>A widely-stocked, well-reviewed merino beanie option that combines warmth, odor resistance over a no-laundry week, and durability that outlasts synthetic budget hats.</t>
        </is>
      </c>
      <c r="M103" s="38" t="inlineStr">
        <is>
          <t>https://www.iheartpacificnorthwest.com/blog_post/hats-gloves-and-neck-gaiters-for-hiking/</t>
        </is>
      </c>
      <c r="N103" s="38" t="inlineStr">
        <is>
          <t>merino resists odor over a week without washing; durable, widely available for easy pre-trip sizing</t>
        </is>
      </c>
      <c r="O103" s="38" t="inlineStr">
        <is>
          <t>heavier and pricier than the Alpha Direct value pick, without a large warmth advantage</t>
        </is>
      </c>
      <c r="P103" s="38" t="inlineStr">
        <is>
          <t>Solid, no-fuss choice; the value tier is the better weight-to-warmth buy for this trip</t>
        </is>
      </c>
      <c r="Q103" s="37" t="n">
        <v>5</v>
      </c>
      <c r="R103" s="37" t="n">
        <v>1</v>
      </c>
      <c r="S103" s="38" t="inlineStr">
        <is>
          <t>TIER ODDITY: Premium ($35.00) is cheaper than Value ($38.00) in this category -- kept as sourced.</t>
        </is>
      </c>
      <c r="T103">
        <f>A103&amp;"|"&amp;C103</f>
        <v/>
      </c>
    </row>
    <row r="104">
      <c r="A104" s="37" t="inlineStr">
        <is>
          <t>light_gloves</t>
        </is>
      </c>
      <c r="B104" s="38" t="inlineStr">
        <is>
          <t>Light liner gloves for cold mornings/hiking (not panning gloves)</t>
        </is>
      </c>
      <c r="C104" s="37" t="inlineStr">
        <is>
          <t>Budget</t>
        </is>
      </c>
      <c r="D104" s="37" t="inlineStr">
        <is>
          <t>SUCUUI</t>
        </is>
      </c>
      <c r="E104" s="37" t="inlineStr">
        <is>
          <t>Wool Fleece-Liner Knit Gloves (3-pack)</t>
        </is>
      </c>
      <c r="F104" s="39" t="n">
        <v>2</v>
      </c>
      <c r="G104" s="38" t="inlineStr">
        <is>
          <t>typical knit glove pair; sold as a 3-pack for $12.99</t>
        </is>
      </c>
      <c r="H104" s="40" t="n">
        <v>12.99</v>
      </c>
      <c r="I104" s="41" t="inlineStr">
        <is>
          <t>https://www.walmart.com/ip/SUCUUI-3-Pairs-Wool-Winter-Gloves-Men-Women-Thick-Wool-Fleece-Liner-Thermal-Knit-Touchscreen-Elastic-Cuff-Insulated-Gloves-for-Cold-Weather-Gifts/17509322663</t>
        </is>
      </c>
      <c r="J104" s="38" t="inlineStr">
        <is>
          <t>$2-4 thrift</t>
        </is>
      </c>
      <c r="K104" s="38" t="inlineStr">
        <is>
          <t>Walmart, Amazon</t>
        </is>
      </c>
      <c r="L104" s="38" t="inlineStr">
        <is>
          <t>A basic knit or fleece glove is the standard 'good enough' answer in hiking gear guides for cold-morning hand warmth away from the water.</t>
        </is>
      </c>
      <c r="M104" s="38" t="inlineStr">
        <is>
          <t>https://www.iheartpacificnorthwest.com/blog_post/hats-gloves-and-neck-gaiters-for-hiking/</t>
        </is>
      </c>
      <c r="N104" s="38" t="inlineStr">
        <is>
          <t>cheap; fine for camp/hiking warmth</t>
        </is>
      </c>
      <c r="O104" s="38" t="inlineStr">
        <is>
          <t>not touchscreen compatible; soak through if it rains</t>
        </is>
      </c>
      <c r="P104" s="38" t="inlineStr">
        <is>
          <t>Good for the hike and camp chores; switch to the dedicated waterproof panning gloves for creek work</t>
        </is>
      </c>
      <c r="Q104" s="37" t="n">
        <v>5</v>
      </c>
      <c r="R104" s="37" t="n">
        <v>1</v>
      </c>
      <c r="S104" s="38" t="inlineStr"/>
      <c r="T104">
        <f>A104&amp;"|"&amp;C104</f>
        <v/>
      </c>
    </row>
    <row r="105">
      <c r="A105" s="37" t="inlineStr">
        <is>
          <t>light_gloves</t>
        </is>
      </c>
      <c r="B105" s="38" t="inlineStr">
        <is>
          <t>Light liner gloves for cold mornings/hiking (not panning gloves)</t>
        </is>
      </c>
      <c r="C105" s="37" t="inlineStr">
        <is>
          <t>Value</t>
        </is>
      </c>
      <c r="D105" s="37" t="inlineStr">
        <is>
          <t>Outdoor Research</t>
        </is>
      </c>
      <c r="E105" s="37" t="inlineStr">
        <is>
          <t>PL 400 Gloves</t>
        </is>
      </c>
      <c r="F105" s="39" t="n">
        <v>2.3</v>
      </c>
      <c r="G105" s="38" t="inlineStr">
        <is>
          <t>per OR spec, fleece liner glove</t>
        </is>
      </c>
      <c r="H105" s="40" t="n">
        <v>35</v>
      </c>
      <c r="I105" s="41" t="inlineStr">
        <is>
          <t>https://www.rei.com/product/C08576/outdoor-research-trail-mix-xt-gloves-mens</t>
        </is>
      </c>
      <c r="J105" s="38" t="inlineStr">
        <is>
          <t>$12-18 used</t>
        </is>
      </c>
      <c r="K105" s="38" t="inlineStr">
        <is>
          <t>REI, OutdoorResearch.com</t>
        </is>
      </c>
      <c r="L105" s="38" t="inlineStr">
        <is>
          <t>A commonly recommended cold-weather liner glove in backpacking gear guides — warmer and more wind-resistant than basic knit gloves while staying light and packable.</t>
        </is>
      </c>
      <c r="M105" s="38" t="inlineStr">
        <is>
          <t>https://www.iheartpacificnorthwest.com/blog_post/hats-gloves-and-neck-gaiters-for-hiking/</t>
        </is>
      </c>
      <c r="N105" s="38" t="inlineStr">
        <is>
          <t>good warmth-to-weight; wind-resistant fleece face</t>
        </is>
      </c>
      <c r="O105" s="38" t="inlineStr">
        <is>
          <t>not waterproof — still soaks through in rain</t>
        </is>
      </c>
      <c r="P105" s="38" t="inlineStr">
        <is>
          <t>Good camp/hiking glove for cold mornings; not for hands-in-water panning</t>
        </is>
      </c>
      <c r="Q105" s="37" t="n">
        <v>4</v>
      </c>
      <c r="R105" s="37" t="n">
        <v>1</v>
      </c>
      <c r="S105" s="38" t="inlineStr">
        <is>
          <t>Replacement is Outdoor Research Trail Mix XT Gloves, recycled fleece liner glove, not the PL 400 Sensor Gloves (PL 400 no longer sold).</t>
        </is>
      </c>
      <c r="T105">
        <f>A105&amp;"|"&amp;C105</f>
        <v/>
      </c>
    </row>
    <row r="106">
      <c r="A106" s="37" t="inlineStr">
        <is>
          <t>light_gloves</t>
        </is>
      </c>
      <c r="B106" s="38" t="inlineStr">
        <is>
          <t>Light liner gloves for cold mornings/hiking (not panning gloves)</t>
        </is>
      </c>
      <c r="C106" s="37" t="inlineStr">
        <is>
          <t>Premium</t>
        </is>
      </c>
      <c r="D106" s="37" t="inlineStr">
        <is>
          <t>Possum Down</t>
        </is>
      </c>
      <c r="E106" s="37" t="inlineStr">
        <is>
          <t>Merino/Possum Blend Gloves (touchscreen)</t>
        </is>
      </c>
      <c r="F106" s="39" t="n">
        <v>1.5</v>
      </c>
      <c r="G106" s="38" t="inlineStr">
        <is>
          <t>per community reporting on brushtail possum/merino gloves</t>
        </is>
      </c>
      <c r="H106" s="40" t="n">
        <v>40</v>
      </c>
      <c r="I106" s="41" t="inlineStr">
        <is>
          <t>https://opossumworld.com/collections/mens-gloves/possum-merino</t>
        </is>
      </c>
      <c r="J106" s="38" t="inlineStr">
        <is>
          <t>$20-25 used</t>
        </is>
      </c>
      <c r="K106" s="38" t="inlineStr">
        <is>
          <t>specialty outdoor retailers, limited US stock</t>
        </is>
      </c>
      <c r="L106" s="38" t="inlineStr">
        <is>
          <t>Cited in hiking-gear roundups as a premium warmth-to-weight option using New Zealand possum fur/merino blends, with touchscreen-compatible fingertips as a nice bonus for map apps.</t>
        </is>
      </c>
      <c r="M106" s="38" t="inlineStr">
        <is>
          <t>https://www.iheartpacificnorthwest.com/blog_post/hats-gloves-and-neck-gaiters-for-hiking/</t>
        </is>
      </c>
      <c r="N106" s="38" t="inlineStr">
        <is>
          <t>exceptional warmth for the weight; touchscreen fingertips</t>
        </is>
      </c>
      <c r="O106" s="38" t="inlineStr">
        <is>
          <t>hard to find/import in the US; expensive for a liner glove; still not waterproof</t>
        </is>
      </c>
      <c r="P106" s="38" t="inlineStr">
        <is>
          <t>Nice-to-have upgrade, not necessary for this trip — the value tier does the job</t>
        </is>
      </c>
      <c r="Q106" s="37" t="n">
        <v>3</v>
      </c>
      <c r="R106" s="37" t="n">
        <v>1</v>
      </c>
      <c r="S106" s="38" t="inlineStr"/>
      <c r="T106">
        <f>A106&amp;"|"&amp;C106</f>
        <v/>
      </c>
    </row>
    <row r="107">
      <c r="A107" s="37" t="inlineStr">
        <is>
          <t>blaze_orange_hat_vest</t>
        </is>
      </c>
      <c r="B107" s="38" t="inlineStr">
        <is>
          <t>Required hunter-visibility gear (deer season)</t>
        </is>
      </c>
      <c r="C107" s="37" t="inlineStr">
        <is>
          <t>Budget</t>
        </is>
      </c>
      <c r="D107" s="37" t="inlineStr">
        <is>
          <t>Hunters Specialties + Mossy Oak</t>
        </is>
      </c>
      <c r="E107" s="37" t="inlineStr">
        <is>
          <t>Mesh Safety Vest + Blaze Orange Insulated Beanie</t>
        </is>
      </c>
      <c r="F107" s="39" t="n">
        <v>6</v>
      </c>
      <c r="G107" s="38" t="inlineStr">
        <is>
          <t>vest ~4oz + beanie ~2oz combined estimate</t>
        </is>
      </c>
      <c r="H107" s="40" t="n">
        <v>16.96</v>
      </c>
      <c r="I107" s="41" t="inlineStr">
        <is>
          <t>https://www.walmart.com/c/kp/orange-hunting-vests</t>
        </is>
      </c>
      <c r="J107" s="38" t="inlineStr">
        <is>
          <t>n/a, cheap enough to buy new</t>
        </is>
      </c>
      <c r="K107" s="38" t="inlineStr">
        <is>
          <t>Walmart</t>
        </is>
      </c>
      <c r="L107" s="38" t="inlineStr">
        <is>
          <t>This exact combo (mesh vest $11.99 + insulated beanie $4.97) is the standard cheap solution hunters and hikers alike use to meet blaze-orange visibility requirements without real cost.</t>
        </is>
      </c>
      <c r="M107" s="38" t="inlineStr">
        <is>
          <t>https://www.walmart.com/c/kp/orange-hunting-vests</t>
        </is>
      </c>
      <c r="N107" s="38" t="inlineStr">
        <is>
          <t>meets GA hunter-orange requirement cheaply; beanie doubles as warm hat</t>
        </is>
      </c>
      <c r="O107" s="38" t="inlineStr">
        <is>
          <t>mesh vest is thin, minimal wind protection; basic construction</t>
        </is>
      </c>
      <c r="P107" s="38" t="inlineStr">
        <is>
          <t>Fully adequate — visibility is the only requirement, not warmth or durability</t>
        </is>
      </c>
      <c r="Q107" s="37" t="n">
        <v>5</v>
      </c>
      <c r="R107" s="37" t="n">
        <v>1</v>
      </c>
      <c r="S107" s="38" t="inlineStr">
        <is>
          <t>Required, not optional, during GA firearms deer season in Chattahoochee NF — confirm GA DNR's current blaze-orange sq-inch/coverage rule before the trip | TIER ODDITY: Budget ($16.96) costs more than Value ($13.51) in this category -- kept as sourced.</t>
        </is>
      </c>
      <c r="T107">
        <f>A107&amp;"|"&amp;C107</f>
        <v/>
      </c>
    </row>
    <row r="108">
      <c r="A108" s="37" t="inlineStr">
        <is>
          <t>blaze_orange_hat_vest</t>
        </is>
      </c>
      <c r="B108" s="38" t="inlineStr">
        <is>
          <t>Required hunter-visibility gear (deer season)</t>
        </is>
      </c>
      <c r="C108" s="37" t="inlineStr">
        <is>
          <t>Value</t>
        </is>
      </c>
      <c r="D108" s="37" t="inlineStr">
        <is>
          <t>Allen Company</t>
        </is>
      </c>
      <c r="E108" s="37" t="inlineStr">
        <is>
          <t>Blaze Orange Safety Vest</t>
        </is>
      </c>
      <c r="F108" s="39" t="n">
        <v>5</v>
      </c>
      <c r="G108" s="38" t="inlineStr">
        <is>
          <t>per prior sourcing in project gear.md</t>
        </is>
      </c>
      <c r="H108" s="40" t="n">
        <v>13.51</v>
      </c>
      <c r="I108" s="41" t="inlineStr">
        <is>
          <t>https://www.walmart.com/ip/Allen-Company-Deluxe-Blaze-Orange-Safety-Hunting-Vest-Medium/956427108</t>
        </is>
      </c>
      <c r="J108" s="38" t="inlineStr">
        <is>
          <t>n/a, cheap enough to buy new</t>
        </is>
      </c>
      <c r="K108" s="38" t="inlineStr">
        <is>
          <t>Walmart</t>
        </is>
      </c>
      <c r="L108" s="38" t="inlineStr">
        <is>
          <t>A step up in build quality from the cheapest mesh vest for barely more money — already the pick in the project's existing base gear list, and a common budget-hunter recommendation for adequate coverage.</t>
        </is>
      </c>
      <c r="M108" s="38" t="inlineStr">
        <is>
          <t>https://www.walmart.com/c/kp/orange-hunting-vests</t>
        </is>
      </c>
      <c r="N108" s="38" t="inlineStr">
        <is>
          <t>sturdier than the bare mesh vest; cheap</t>
        </is>
      </c>
      <c r="O108" s="38" t="inlineStr">
        <is>
          <t>still basic, no pockets/features</t>
        </is>
      </c>
      <c r="P108" s="38" t="inlineStr">
        <is>
          <t>Good, simple compliance solution</t>
        </is>
      </c>
      <c r="Q108" s="37" t="n">
        <v>5</v>
      </c>
      <c r="R108" s="37" t="n">
        <v>1</v>
      </c>
      <c r="S108" s="38" t="inlineStr">
        <is>
          <t>TIER ODDITY: Value ($13.51) is cheaper than Budget ($16.96) in this category -- kept as sourced.</t>
        </is>
      </c>
      <c r="T108">
        <f>A108&amp;"|"&amp;C108</f>
        <v/>
      </c>
    </row>
    <row r="109">
      <c r="A109" s="37" t="inlineStr">
        <is>
          <t>blaze_orange_hat_vest</t>
        </is>
      </c>
      <c r="B109" s="38" t="inlineStr">
        <is>
          <t>Required hunter-visibility gear (deer season)</t>
        </is>
      </c>
      <c r="C109" s="37" t="inlineStr">
        <is>
          <t>Premium</t>
        </is>
      </c>
      <c r="D109" s="37" t="inlineStr">
        <is>
          <t>Vortex Optics</t>
        </is>
      </c>
      <c r="E109" s="37" t="inlineStr">
        <is>
          <t>Blaze Orange Hunting Vest &amp; Hat Combo</t>
        </is>
      </c>
      <c r="F109" s="39" t="n">
        <v>10</v>
      </c>
      <c r="G109" s="38" t="inlineStr">
        <is>
          <t>combo vest+hat, estimate based on similar products</t>
        </is>
      </c>
      <c r="H109" s="40" t="n">
        <v>45</v>
      </c>
      <c r="I109" s="41" t="inlineStr">
        <is>
          <t>https://www.amazon.com/Vortex-Optics-Blaze-Orange-Hunting/dp/B0DW3MXC12</t>
        </is>
      </c>
      <c r="J109" s="38" t="inlineStr">
        <is>
          <t>$20-25 used</t>
        </is>
      </c>
      <c r="K109" s="38" t="inlineStr">
        <is>
          <t>Amazon</t>
        </is>
      </c>
      <c r="L109" s="38" t="inlineStr">
        <is>
          <t>A well-reviewed combo that pairs a structured vest with a matching hat and is designed to meet most states' hunter-orange coverage requirements in one purchase, with more pockets and better fabric than the budget mesh option.</t>
        </is>
      </c>
      <c r="M109" s="38" t="inlineStr">
        <is>
          <t>https://www.amazon.com/Vortex-Optics-Blaze-Orange-Hunting/dp/B0DW3MXC12</t>
        </is>
      </c>
      <c r="N109" s="38" t="inlineStr">
        <is>
          <t>more durable fabric and pockets than budget options; matched hat+vest set simplifies compliance</t>
        </is>
      </c>
      <c r="O109" s="38" t="inlineStr">
        <is>
          <t>unnecessary spend for a single week's use</t>
        </is>
      </c>
      <c r="P109" s="38" t="inlineStr">
        <is>
          <t>Nice if it'll get reused for actual hunting later; overkill just for hiking visibility</t>
        </is>
      </c>
      <c r="Q109" s="37" t="n">
        <v>4</v>
      </c>
      <c r="R109" s="37" t="n">
        <v>1</v>
      </c>
      <c r="S109" s="38" t="inlineStr"/>
      <c r="T109">
        <f>A109&amp;"|"&amp;C109</f>
        <v/>
      </c>
    </row>
    <row r="110">
      <c r="A110" s="37" t="inlineStr">
        <is>
          <t>camp_shoes</t>
        </is>
      </c>
      <c r="B110" s="38" t="inlineStr">
        <is>
          <t>Camp shoes (post-panning, around camp)</t>
        </is>
      </c>
      <c r="C110" s="37" t="inlineStr">
        <is>
          <t>Budget</t>
        </is>
      </c>
      <c r="D110" s="37" t="inlineStr">
        <is>
          <t>Generic</t>
        </is>
      </c>
      <c r="E110" s="37" t="inlineStr">
        <is>
          <t>Old sneakers or flip-flops already owned</t>
        </is>
      </c>
      <c r="F110" s="39" t="n">
        <v>10</v>
      </c>
      <c r="G110" s="38" t="inlineStr">
        <is>
          <t>varies</t>
        </is>
      </c>
      <c r="H110" s="40" t="n">
        <v>0</v>
      </c>
      <c r="I110" s="41" t="inlineStr">
        <is>
          <t>https://bikepacking.com/gear/ultralight-camp-shoes/</t>
        </is>
      </c>
      <c r="J110" s="38" t="inlineStr">
        <is>
          <t>$0 (already owned)</t>
        </is>
      </c>
      <c r="K110" s="38" t="inlineStr">
        <is>
          <t>closet</t>
        </is>
      </c>
      <c r="L110" s="38" t="inlineStr">
        <is>
          <t>Ultralight backpackers most often skip a dedicated camp shoe entirely and reuse something already owned — a second pair of shoes rarely 'makes the cut' for weight-conscious hikers, per Bikepacking.com's ultralight camp shoe roundup.</t>
        </is>
      </c>
      <c r="M110" s="38" t="inlineStr">
        <is>
          <t>https://bikepacking.com/gear/ultralight-camp-shoes/</t>
        </is>
      </c>
      <c r="N110" s="38" t="inlineStr">
        <is>
          <t>free; zero extra pack weight if skipped or repurposed</t>
        </is>
      </c>
      <c r="O110" s="38" t="inlineStr">
        <is>
          <t>no dedicated traction/support for wet rocks; won't dry as fast as purpose-built options</t>
        </is>
      </c>
      <c r="P110" s="38" t="inlineStr">
        <is>
          <t>Fine for base camp evenings around the fire once panning is done for the day</t>
        </is>
      </c>
      <c r="Q110" s="37" t="n">
        <v>5</v>
      </c>
      <c r="R110" s="37" t="n">
        <v>1</v>
      </c>
      <c r="S110" s="38" t="inlineStr">
        <is>
          <t>This trip already has a dedicated 'creek shoe' (neoprene sock + old sneaker) — a separate camp shoe is a nice-to-have, not a must</t>
        </is>
      </c>
      <c r="T110">
        <f>A110&amp;"|"&amp;C110</f>
        <v/>
      </c>
    </row>
    <row r="111">
      <c r="A111" s="37" t="inlineStr">
        <is>
          <t>camp_shoes</t>
        </is>
      </c>
      <c r="B111" s="38" t="inlineStr">
        <is>
          <t>Camp shoes (post-panning, around camp)</t>
        </is>
      </c>
      <c r="C111" s="37" t="inlineStr">
        <is>
          <t>Value</t>
        </is>
      </c>
      <c r="D111" s="37" t="inlineStr">
        <is>
          <t>Crocs</t>
        </is>
      </c>
      <c r="E111" s="37" t="inlineStr">
        <is>
          <t>Classic Clog</t>
        </is>
      </c>
      <c r="F111" s="39" t="n">
        <v>14</v>
      </c>
      <c r="G111" s="38" t="inlineStr">
        <is>
          <t>per pair, per Bikepacking.com testing</t>
        </is>
      </c>
      <c r="H111" s="40" t="n">
        <v>50</v>
      </c>
      <c r="I111" s="41" t="inlineStr">
        <is>
          <t>https://www.crocs.com/p/classic-clog/10001.html</t>
        </is>
      </c>
      <c r="J111" s="38" t="inlineStr">
        <is>
          <t>$15-25 used/thrift</t>
        </is>
      </c>
      <c r="K111" s="38" t="inlineStr">
        <is>
          <t>Crocs.com, Walmart, Target</t>
        </is>
      </c>
      <c r="L111" s="38" t="inlineStr">
        <is>
          <t>A long-running backpacker favorite for camp/stream crossings — reviewers who initially mocked them 'found themselves reaching for them again and again' for toe protection and quick on/off at camp.</t>
        </is>
      </c>
      <c r="M111" s="38" t="inlineStr">
        <is>
          <t>https://bikepacking.com/gear/ultralight-camp-shoes/, https://www.backpacker.com/gear/apparel/ultralight-camp-shoes/</t>
        </is>
      </c>
      <c r="N111" s="38" t="inlineStr">
        <is>
          <t>toe and heel protection unlike sandals; easy on/off at the tent; can be worn wet without damage</t>
        </is>
      </c>
      <c r="O111" s="38" t="inlineStr">
        <is>
          <t>14 oz is heavy by UL camp-shoe standards; bulky in a pack</t>
        </is>
      </c>
      <c r="P111" s="38" t="inlineStr">
        <is>
          <t>Good for letting panning feet dry out and breathe at camp each evening</t>
        </is>
      </c>
      <c r="Q111" s="37" t="n">
        <v>5</v>
      </c>
      <c r="R111" s="37" t="n">
        <v>1</v>
      </c>
      <c r="S111" s="38" t="inlineStr"/>
      <c r="T111">
        <f>A111&amp;"|"&amp;C111</f>
        <v/>
      </c>
    </row>
    <row r="112">
      <c r="A112" s="37" t="inlineStr">
        <is>
          <t>camp_shoes</t>
        </is>
      </c>
      <c r="B112" s="38" t="inlineStr">
        <is>
          <t>Camp shoes (post-panning, around camp)</t>
        </is>
      </c>
      <c r="C112" s="37" t="inlineStr">
        <is>
          <t>Premium</t>
        </is>
      </c>
      <c r="D112" s="37" t="inlineStr">
        <is>
          <t>Bedrock Sandals</t>
        </is>
      </c>
      <c r="E112" s="37" t="inlineStr">
        <is>
          <t>Cairn Evo Adventure Sandals (current lineup; original Cairn Adventure Sandal discontinued)</t>
        </is>
      </c>
      <c r="F112" s="39" t="n">
        <v>11</v>
      </c>
      <c r="G112" s="38" t="inlineStr">
        <is>
          <t>per Bedrock Sandals spec, per pair</t>
        </is>
      </c>
      <c r="H112" s="40" t="n">
        <v>115</v>
      </c>
      <c r="I112" s="41" t="inlineStr">
        <is>
          <t>https://bedrocksandals.com/products/cairn-evo</t>
        </is>
      </c>
      <c r="J112" s="38" t="inlineStr">
        <is>
          <t>$50-70 used on GearTrade</t>
        </is>
      </c>
      <c r="K112" s="38" t="inlineStr">
        <is>
          <t>BedrockSandals.com</t>
        </is>
      </c>
      <c r="L112" s="38" t="inlineStr">
        <is>
          <t>Adventure Alan and other UL sandal guides call sport sandals like the Cairn a favorite for water-heavy trips since they drain instantly, unlike Crocs, and have a real adjustable strap system for security on uneven creek gravel.</t>
        </is>
      </c>
      <c r="M112" s="38" t="inlineStr">
        <is>
          <t>https://www.adventurealan.com/ultralight-sandals-backpacking/</t>
        </is>
      </c>
      <c r="N112" s="38" t="inlineStr">
        <is>
          <t>drains instantly, no water pooling like Crocs; secure strap system for uneven terrain; doubles as an emergency creek shoe if the primary pair fails</t>
        </is>
      </c>
      <c r="O112" s="38" t="inlineStr">
        <is>
          <t>no toe protection like Crocs; pricier than needed for a one-week trip</t>
        </is>
      </c>
      <c r="P112" s="38" t="inlineStr">
        <is>
          <t>Excellent if this person will keep doing water-heavy trips; not essential just for this one</t>
        </is>
      </c>
      <c r="Q112" s="37" t="n">
        <v>3</v>
      </c>
      <c r="R112" s="37" t="n">
        <v>1</v>
      </c>
      <c r="S112" s="38" t="inlineStr"/>
      <c r="T112">
        <f>A112&amp;"|"&amp;C112</f>
        <v/>
      </c>
    </row>
    <row r="113">
      <c r="A113" s="37" t="inlineStr">
        <is>
          <t>insulated_waterproof_gloves</t>
        </is>
      </c>
      <c r="B113" s="38" t="inlineStr">
        <is>
          <t>Insulated waterproof gloves for hands-in-50F-water panning</t>
        </is>
      </c>
      <c r="C113" s="37" t="inlineStr">
        <is>
          <t>Budget</t>
        </is>
      </c>
      <c r="D113" s="37" t="inlineStr">
        <is>
          <t>Glacier Glove</t>
        </is>
      </c>
      <c r="E113" s="37" t="inlineStr">
        <is>
          <t>Kenai Original</t>
        </is>
      </c>
      <c r="F113" s="39" t="n">
        <v>4</v>
      </c>
      <c r="G113" s="38" t="inlineStr">
        <is>
          <t>per pair, 2mm neoprene glove</t>
        </is>
      </c>
      <c r="H113" s="40" t="n">
        <v>24.99</v>
      </c>
      <c r="I113" s="41" t="inlineStr">
        <is>
          <t>https://glacieroutdoor.com/products/kenai-original</t>
        </is>
      </c>
      <c r="J113" s="38" t="inlineStr">
        <is>
          <t>n/a, cheap enough to buy new</t>
        </is>
      </c>
      <c r="K113" s="38" t="inlineStr">
        <is>
          <t>Glacier Outdoor, Amazon</t>
        </is>
      </c>
      <c r="L113" s="38" t="inlineStr">
        <is>
          <t>Jordan's pick 2026-09-23: 35-year standard for cold fly-fishing, 2mm fleece-lined neoprene with a sharkskin palm -- chose dexterity (feel the pan, pick gravel) over staying bone-dry.</t>
        </is>
      </c>
      <c r="M113" s="38" t="inlineStr">
        <is>
          <t>https://glacieroutdoor.com/products/kenai-original</t>
        </is>
      </c>
      <c r="N113" s="38" t="inlineStr">
        <is>
          <t>genuinely warm — designed for commercial cold-water fish work; cheap; widely available</t>
        </is>
      </c>
      <c r="O113" s="38" t="inlineStr">
        <is>
          <t>12" gauntlet only, water can pour in over the top if you reach deep; less dexterity than a dedicated panning glove</t>
        </is>
      </c>
      <c r="P113" s="38" t="inlineStr">
        <is>
          <t>Good for 50°F creek water if you avoid submerging past the cuff — bring a dry backup pair per person</t>
        </is>
      </c>
      <c r="Q113" s="37" t="n">
        <v>5</v>
      </c>
      <c r="R113" s="37" t="n">
        <v>1</v>
      </c>
      <c r="S113" s="38" t="inlineStr">
        <is>
          <t>Order true to hand size; too small and they crack, too large and dexterity for panning suffers. Replacement listing is the same Atlas 620 model, Small/Orange, from a different seller (original ASIN listing no longer has a valid buyable price).</t>
        </is>
      </c>
      <c r="T113">
        <f>A113&amp;"|"&amp;C113</f>
        <v/>
      </c>
    </row>
    <row r="114">
      <c r="A114" s="37" t="inlineStr">
        <is>
          <t>insulated_waterproof_gloves</t>
        </is>
      </c>
      <c r="B114" s="38" t="inlineStr">
        <is>
          <t>Insulated waterproof gloves for hands-in-50F-water panning</t>
        </is>
      </c>
      <c r="C114" s="37" t="inlineStr">
        <is>
          <t>Value</t>
        </is>
      </c>
      <c r="D114" s="37" t="inlineStr">
        <is>
          <t>Glacier Glove</t>
        </is>
      </c>
      <c r="E114" s="37" t="inlineStr">
        <is>
          <t>Kenai Original</t>
        </is>
      </c>
      <c r="F114" s="39" t="n">
        <v>4</v>
      </c>
      <c r="G114" s="38" t="inlineStr">
        <is>
          <t>per pair, 2mm neoprene glove</t>
        </is>
      </c>
      <c r="H114" s="40" t="n">
        <v>24.99</v>
      </c>
      <c r="I114" s="41" t="inlineStr">
        <is>
          <t>https://glacieroutdoor.com/products/kenai-original</t>
        </is>
      </c>
      <c r="J114" s="38" t="inlineStr">
        <is>
          <t>n/a, cheap enough to buy new</t>
        </is>
      </c>
      <c r="K114" s="38" t="inlineStr">
        <is>
          <t>Glacier Outdoor, Amazon</t>
        </is>
      </c>
      <c r="L114" s="38" t="inlineStr">
        <is>
          <t>Jordan's pick 2026-09-23: 35-year standard for cold fly-fishing, 2mm fleece-lined neoprene with a sharkskin palm -- chose dexterity (feel the pan, pick gravel) over staying bone-dry.</t>
        </is>
      </c>
      <c r="M114" s="38" t="inlineStr">
        <is>
          <t>https://glacieroutdoor.com/products/kenai-original</t>
        </is>
      </c>
      <c r="N114" s="38" t="inlineStr">
        <is>
          <t>longer gauntlet than the Atlas 620 reduces water intrusion when reaching deep; roomy enough to layer a liner glove underneath for extra warmth; marketed and reviewed specifically for gold panning</t>
        </is>
      </c>
      <c r="O114" s="38" t="inlineStr">
        <is>
          <t>still not insulated on its own — needs a liner glove in genuinely cold water; textured grip wears down over a season</t>
        </is>
      </c>
      <c r="P114" s="38" t="inlineStr">
        <is>
          <t>A solid dedicated panning glove for daily creek sessions over the whole trip</t>
        </is>
      </c>
      <c r="Q114" s="37" t="n">
        <v>5</v>
      </c>
      <c r="R114" s="37" t="n">
        <v>1</v>
      </c>
      <c r="S114" s="38" t="inlineStr">
        <is>
          <t>Pair with a thin liner glove for the coldest mornings</t>
        </is>
      </c>
      <c r="T114">
        <f>A114&amp;"|"&amp;C114</f>
        <v/>
      </c>
    </row>
    <row r="115">
      <c r="A115" s="37" t="inlineStr">
        <is>
          <t>insulated_waterproof_gloves</t>
        </is>
      </c>
      <c r="B115" s="38" t="inlineStr">
        <is>
          <t>Insulated waterproof gloves for hands-in-50F-water panning</t>
        </is>
      </c>
      <c r="C115" s="37" t="inlineStr">
        <is>
          <t>Premium</t>
        </is>
      </c>
      <c r="D115" s="37" t="inlineStr">
        <is>
          <t>High Plains Prospectors</t>
        </is>
      </c>
      <c r="E115" s="37" t="inlineStr">
        <is>
          <t>Arctic Gauntlet Gloves for Cold Water Wading</t>
        </is>
      </c>
      <c r="F115" s="39" t="n">
        <v>9</v>
      </c>
      <c r="G115" s="38" t="inlineStr">
        <is>
          <t>per pair, lined arm-length gauntlet, estimate</t>
        </is>
      </c>
      <c r="H115" s="40" t="n">
        <v>50</v>
      </c>
      <c r="I115" s="41" t="inlineStr">
        <is>
          <t>https://www.highplainsprospectors.com/products/arctic-gauntlet-gloves-for-cold-water-wading</t>
        </is>
      </c>
      <c r="J115" s="38" t="inlineStr">
        <is>
          <t>$25-35 used</t>
        </is>
      </c>
      <c r="K115" s="38" t="inlineStr">
        <is>
          <t>HighPlainsProspectors.com</t>
        </is>
      </c>
      <c r="L115"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5" s="38" t="inlineStr">
        <is>
          <t>https://www.highplainsprospectors.com/products/arctic-gauntlet-gloves-for-cold-water-wading</t>
        </is>
      </c>
      <c r="N115" s="38" t="inlineStr">
        <is>
          <t>purpose-built for cold-water prospecting specifically, not repurposed work gear; arm-length gauntlet handles deeper reaches without flooding; roomy fit for liner gloves in genuinely cold conditions</t>
        </is>
      </c>
      <c r="O115" s="38" t="inlineStr">
        <is>
          <t>priciest of the three tiers; bulkier, less dexterity for fine cleanup work</t>
        </is>
      </c>
      <c r="P115" s="38" t="inlineStr">
        <is>
          <t>The most dedicated option for daily hours-long panning sessions in 50°F water; arguably more glove than this trip strictly needs</t>
        </is>
      </c>
      <c r="Q115" s="37" t="n">
        <v>4</v>
      </c>
      <c r="R115" s="37" t="n">
        <v>1</v>
      </c>
      <c r="S115" s="38" t="inlineStr"/>
      <c r="T115">
        <f>A115&amp;"|"&amp;C115</f>
        <v/>
      </c>
    </row>
    <row r="116">
      <c r="A116" s="37" t="inlineStr">
        <is>
          <t>neoprene_socks_wading</t>
        </is>
      </c>
      <c r="B116" s="38" t="inlineStr">
        <is>
          <t>Neoprene socks for feet in 50F creek water</t>
        </is>
      </c>
      <c r="C116" s="37" t="inlineStr">
        <is>
          <t>Budget</t>
        </is>
      </c>
      <c r="D116" s="37" t="inlineStr">
        <is>
          <t>Generic</t>
        </is>
      </c>
      <c r="E116" s="37" t="inlineStr">
        <is>
          <t>3mm Knee-High Neoprene Sock</t>
        </is>
      </c>
      <c r="F116" s="39" t="n">
        <v>6</v>
      </c>
      <c r="G116" s="38" t="inlineStr">
        <is>
          <t>per pair, per Walmart listing (verified live price)</t>
        </is>
      </c>
      <c r="H116" s="40" t="n">
        <v>41.59</v>
      </c>
      <c r="I116" s="41" t="inlineStr">
        <is>
          <t>https://www.walmart.com/ip/17778063384</t>
        </is>
      </c>
      <c r="J116" s="38" t="inlineStr">
        <is>
          <t>n/a, cheap enough to buy new</t>
        </is>
      </c>
      <c r="K116" s="38" t="inlineStr">
        <is>
          <t>Walmart</t>
        </is>
      </c>
      <c r="L116" s="38" t="inlineStr">
        <is>
          <t>Standard budget 3mm neoprene sock used by anglers and prospectors alike for cold-water wading — already the pick in the project's existing gear.md and a common recommendation on wading/fishing forums as 'good enough' for shoulder-season water temps.</t>
        </is>
      </c>
      <c r="M116" s="38" t="inlineStr">
        <is>
          <t>https://www.walmart.com/ip/17778063384</t>
        </is>
      </c>
      <c r="N116" s="38" t="inlineStr">
        <is>
          <t>cheap; adequate warmth for ~50°F water in short-to-medium sessions</t>
        </is>
      </c>
      <c r="O116" s="38" t="inlineStr">
        <is>
          <t>3mm is thinner than dedicated cold-water fishing socks; seams can chafe over a full week of daily use</t>
        </is>
      </c>
      <c r="P116" s="38" t="inlineStr">
        <is>
          <t>Works for daily panning if paired with warm-up breaks; wear inside old sneakers/water shoes, not boots</t>
        </is>
      </c>
      <c r="Q116" s="37" t="n">
        <v>5</v>
      </c>
      <c r="R116" s="37" t="n">
        <v>1</v>
      </c>
      <c r="S116" s="38" t="inlineStr">
        <is>
          <t>TIER ODDITY: Budget ($41.59) costs more than Value ($30.19) in this category -- kept as sourced.</t>
        </is>
      </c>
      <c r="T116">
        <f>A116&amp;"|"&amp;C116</f>
        <v/>
      </c>
    </row>
    <row r="117">
      <c r="A117" s="37" t="inlineStr">
        <is>
          <t>neoprene_socks_wading</t>
        </is>
      </c>
      <c r="B117" s="38" t="inlineStr">
        <is>
          <t>Neoprene socks for feet in 50F creek water</t>
        </is>
      </c>
      <c r="C117" s="37" t="inlineStr">
        <is>
          <t>Value</t>
        </is>
      </c>
      <c r="D117" s="37" t="inlineStr">
        <is>
          <t>8 Fans</t>
        </is>
      </c>
      <c r="E117" s="37" t="inlineStr">
        <is>
          <t>3mm Neoprene Wading/Water Socks</t>
        </is>
      </c>
      <c r="F117" s="39" t="n">
        <v>6.5</v>
      </c>
      <c r="G117" s="38" t="inlineStr">
        <is>
          <t>per pair, typical 3mm dive/water sock (verified live price)</t>
        </is>
      </c>
      <c r="H117" s="40" t="n">
        <v>30.19</v>
      </c>
      <c r="I117" s="41" t="inlineStr">
        <is>
          <t>https://www.amazon.com/Fans-Neoprene-Wading-Socks-Fishing/dp/B0DW8VW4HY</t>
        </is>
      </c>
      <c r="J117" s="38" t="inlineStr">
        <is>
          <t>$12-18 used</t>
        </is>
      </c>
      <c r="K117" s="38" t="inlineStr">
        <is>
          <t>Amazon, REI</t>
        </is>
      </c>
      <c r="L117" s="38" t="inlineStr">
        <is>
          <t>A step up in stitching and fit quality from generic neoprene socks at a similar price point, commonly recommended in wading/diving gear guides as the sweet spot between cost and comfort for repeated cold-water use.</t>
        </is>
      </c>
      <c r="M117" s="38" t="inlineStr">
        <is>
          <t>https://www.walmart.com/c/kp/sock-wade</t>
        </is>
      </c>
      <c r="N117" s="38" t="inlineStr">
        <is>
          <t>better seam construction reduces chafing over multiple days; glued-and-blind-stitched seams keep more water out than basic models</t>
        </is>
      </c>
      <c r="O117" s="38" t="inlineStr">
        <is>
          <t>still 3mm — not as warm as thicker premium options</t>
        </is>
      </c>
      <c r="P117" s="38" t="inlineStr">
        <is>
          <t>A comfortable everyday choice for repeated creek sessions across the whole week</t>
        </is>
      </c>
      <c r="Q117" s="37" t="n">
        <v>5</v>
      </c>
      <c r="R117" s="37" t="n">
        <v>1</v>
      </c>
      <c r="S117" s="38" t="inlineStr">
        <is>
          <t>TIER ODDITY: Value ($30.19) is cheaper than Budget ($41.59) in this category -- kept as sourced.</t>
        </is>
      </c>
      <c r="T117">
        <f>A117&amp;"|"&amp;C117</f>
        <v/>
      </c>
    </row>
    <row r="118">
      <c r="A118" s="37" t="inlineStr">
        <is>
          <t>neoprene_socks_wading</t>
        </is>
      </c>
      <c r="B118" s="38" t="inlineStr">
        <is>
          <t>Neoprene socks for feet in 50F creek water</t>
        </is>
      </c>
      <c r="C118" s="37" t="inlineStr">
        <is>
          <t>Premium</t>
        </is>
      </c>
      <c r="D118" s="37" t="inlineStr">
        <is>
          <t>Korkers</t>
        </is>
      </c>
      <c r="E118" s="37" t="inlineStr">
        <is>
          <t>I-Drain Neoprene Guard Socks, 3.5mm</t>
        </is>
      </c>
      <c r="F118" s="39" t="n">
        <v>7</v>
      </c>
      <c r="G118" s="38" t="inlineStr">
        <is>
          <t>per pair, per Korkers spec</t>
        </is>
      </c>
      <c r="H118" s="40" t="n">
        <v>44.99</v>
      </c>
      <c r="I118" s="41" t="inlineStr">
        <is>
          <t>https://korkers.com/products/i-drain-neoprene-guard-socks-3-5mm-deyoung-brown-flank</t>
        </is>
      </c>
      <c r="J118" s="38" t="inlineStr">
        <is>
          <t>$20-28 used</t>
        </is>
      </c>
      <c r="K118" s="38" t="inlineStr">
        <is>
          <t>Korkers.com, fly shops</t>
        </is>
      </c>
      <c r="L118" s="38" t="inlineStr">
        <is>
          <t>A fly-fishing-industry standard sock built for exactly this use case — thicker 3.5mm neoprene plus a built-in drain system to shed water faster between dips, popular with guides who stand in cold water all day for a living.</t>
        </is>
      </c>
      <c r="M118" s="38" t="inlineStr">
        <is>
          <t>https://korkers.com/products/i-drain-neoprene-guard-socks-3-5mm-deyoung-brown-flank</t>
        </is>
      </c>
      <c r="N118" s="38" t="inlineStr">
        <is>
          <t>thicker neoprene than the budget/value tiers for more warmth; drain design sheds water fast between panning dips; built by a wading-specific brand, proven durability</t>
        </is>
      </c>
      <c r="O118" s="38" t="inlineStr">
        <is>
          <t>priciest of the three options; slightly bulkier fit inside water shoes</t>
        </is>
      </c>
      <c r="P118" s="38" t="inlineStr">
        <is>
          <t>The warmest, most durable option for hours of daily hands-and-feet-in-water panning</t>
        </is>
      </c>
      <c r="Q118" s="37" t="n">
        <v>4</v>
      </c>
      <c r="R118" s="37" t="n">
        <v>1</v>
      </c>
      <c r="S118" s="38" t="inlineStr"/>
      <c r="T118">
        <f>A118&amp;"|"&amp;C118</f>
        <v/>
      </c>
    </row>
    <row r="119">
      <c r="A119" s="37" t="inlineStr">
        <is>
          <t>waders_vs_none</t>
        </is>
      </c>
      <c r="B119" s="38" t="inlineStr">
        <is>
          <t>Waders decision for cold-water panning</t>
        </is>
      </c>
      <c r="C119" s="37" t="inlineStr">
        <is>
          <t>Budget</t>
        </is>
      </c>
      <c r="D119" s="37" t="inlineStr">
        <is>
          <t>None</t>
        </is>
      </c>
      <c r="E119" s="37" t="inlineStr">
        <is>
          <t>No waders — neoprene socks + quick-dry pants only</t>
        </is>
      </c>
      <c r="F119" s="39" t="n">
        <v>0</v>
      </c>
      <c r="G119" s="38" t="inlineStr">
        <is>
          <t>n/a</t>
        </is>
      </c>
      <c r="H119" s="40" t="n">
        <v>0</v>
      </c>
      <c r="I119" s="41" t="inlineStr">
        <is>
          <t>https://www.treasurenet.com/threads/prospecting-gloves-advice.379227/</t>
        </is>
      </c>
      <c r="J119" s="38" t="inlineStr">
        <is>
          <t>n/a</t>
        </is>
      </c>
      <c r="K119" s="38" t="inlineStr">
        <is>
          <t>n/a</t>
        </is>
      </c>
      <c r="L119"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9" s="38" t="inlineStr">
        <is>
          <t>https://www.treasurenet.com/threads/prospecting-gloves-advice.379227/, https://luckypanner.com/what-you-need-to-know-about-panning-for-gold-during-the-winter/</t>
        </is>
      </c>
      <c r="N119" s="38" t="inlineStr">
        <is>
          <t>zero extra cost or pack weight; maximum mobility for kneeling/scooping; nothing extra to dry or pack out</t>
        </is>
      </c>
      <c r="O119" s="38" t="inlineStr">
        <is>
          <t>knees/thighs of pants get wet if kneeling in the flow; requires a full dry-clothes change after each session</t>
        </is>
      </c>
      <c r="P119" s="38" t="inlineStr">
        <is>
          <t>The community-recommended default for this trip's shin-deep hand-panning — Chattahoochee NF rules (hand pan + trowel only, no bank digging) mean you're never in deep water anyway</t>
        </is>
      </c>
      <c r="Q119" s="37" t="n">
        <v>5</v>
      </c>
      <c r="R119" s="37" t="n">
        <v>1</v>
      </c>
      <c r="S119" s="38" t="inlineStr">
        <is>
          <t>This is genuinely the recommended choice for this trip, not just the cheapest one — save the money</t>
        </is>
      </c>
      <c r="T119">
        <f>A119&amp;"|"&amp;C119</f>
        <v/>
      </c>
    </row>
    <row r="120">
      <c r="A120" s="37" t="inlineStr">
        <is>
          <t>waders_vs_none</t>
        </is>
      </c>
      <c r="B120" s="38" t="inlineStr">
        <is>
          <t>Waders decision for cold-water panning</t>
        </is>
      </c>
      <c r="C120" s="37" t="inlineStr">
        <is>
          <t>Value</t>
        </is>
      </c>
      <c r="D120" s="37" t="inlineStr">
        <is>
          <t>FROGG TOGGS</t>
        </is>
      </c>
      <c r="E120" s="37" t="inlineStr">
        <is>
          <t>Canyon II Stockingfoot Hip Wader, Medium (needs separate wading shoe)</t>
        </is>
      </c>
      <c r="F120" s="39" t="n">
        <v>20</v>
      </c>
      <c r="G120" s="38" t="inlineStr">
        <is>
          <t>category estimate, no vendor spec published -- 4-ply nylon, no attached boot</t>
        </is>
      </c>
      <c r="H120" s="40" t="n">
        <v>98.29000000000001</v>
      </c>
      <c r="I120" s="41" t="inlineStr">
        <is>
          <t>https://www.amazon.com/Frogg-Toggs-Canyon-Breathable-Stockingfoot/dp/B07FKMB1DB</t>
        </is>
      </c>
      <c r="J120" s="38" t="inlineStr">
        <is>
          <t>n/a, cheap enough to buy new</t>
        </is>
      </c>
      <c r="K120" s="38" t="inlineStr">
        <is>
          <t>Amazon</t>
        </is>
      </c>
      <c r="L120" s="38" t="inlineStr">
        <is>
          <t>Breathable upgrade over the rubber/PVC Hodgman pick -- highest-rated breathable hip wader at this size, and hip height already exceeds what shin-deep hand-panning needs. Needs a separate wading shoe (not bundled).</t>
        </is>
      </c>
      <c r="M120" s="38" t="inlineStr">
        <is>
          <t>https://www.froggtoggs.com/canyon-ii-stockingfoot-breathable-hip-wader</t>
        </is>
      </c>
      <c r="N120" s="38" t="inlineStr">
        <is>
          <t>keeps legs fully dry in deeper water; cheap for what they are</t>
        </is>
      </c>
      <c r="O120" s="38" t="inlineStr">
        <is>
          <t>bulky to pack for the backcountry overnight leg; neoprene isn't breathable, gets clammy while hiking in; not needed for CNF-legal hand panning in shallow water</t>
        </is>
      </c>
      <c r="P120" s="38" t="inlineStr">
        <is>
          <t>Only worth bringing to base camp (car-supported), not on the 3-5 mi overnight hike — skip for the backcountry leg entirely</t>
        </is>
      </c>
      <c r="Q120" s="37" t="n">
        <v>3</v>
      </c>
      <c r="R120" s="37" t="n">
        <v>1</v>
      </c>
      <c r="S120" s="38" t="inlineStr">
        <is>
          <t>If bringing at all, leave at the truck for base-camp days only</t>
        </is>
      </c>
      <c r="T120">
        <f>A120&amp;"|"&amp;C120</f>
        <v/>
      </c>
    </row>
    <row r="121">
      <c r="A121" s="37" t="inlineStr">
        <is>
          <t>waders_vs_none</t>
        </is>
      </c>
      <c r="B121" s="38" t="inlineStr">
        <is>
          <t>Waders decision for cold-water panning</t>
        </is>
      </c>
      <c r="C121" s="37" t="inlineStr">
        <is>
          <t>Premium</t>
        </is>
      </c>
      <c r="D121" s="37" t="inlineStr">
        <is>
          <t>Simms</t>
        </is>
      </c>
      <c r="E121" s="37" t="inlineStr">
        <is>
          <t>Tributary Stockingfoot Waders</t>
        </is>
      </c>
      <c r="F121" s="39" t="n">
        <v>38</v>
      </c>
      <c r="G121" s="38" t="inlineStr">
        <is>
          <t>per Simms spec, breathable stockingfoot chest wader</t>
        </is>
      </c>
      <c r="H121" s="40" t="n">
        <v>300</v>
      </c>
      <c r="I121" s="41" t="inlineStr">
        <is>
          <t>https://fishwest.com/products/simms-tributary-stockingfoot-waders-mens</t>
        </is>
      </c>
      <c r="J121" s="38" t="inlineStr">
        <is>
          <t>$80-110 used on eBay</t>
        </is>
      </c>
      <c r="K121" s="38" t="inlineStr">
        <is>
          <t>REI, Simms Fishing, Bass Pro</t>
        </is>
      </c>
      <c r="L121"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21" s="38" t="inlineStr">
        <is>
          <t>https://www.rei.com/learn/expert-advice/best-hiking-pants.html</t>
        </is>
      </c>
      <c r="N121" s="38" t="inlineStr">
        <is>
          <t>breathable fabric avoids the clamminess of neoprene hip waders; full chest coverage for any water depth; durable, well-supported brand</t>
        </is>
      </c>
      <c r="O121" s="38" t="inlineStr">
        <is>
          <t>expensive and heavy for gear that's arguably unnecessary for shallow hand-panning; packs bulky for the backcountry hike</t>
        </is>
      </c>
      <c r="P121" s="38" t="inlineStr">
        <is>
          <t>Not recommended for this trip's use case — panning here doesn't require standing in deep water, so this is spend without real benefit</t>
        </is>
      </c>
      <c r="Q121" s="37" t="n">
        <v>2</v>
      </c>
      <c r="R121" s="37" t="n">
        <v>1</v>
      </c>
      <c r="S121" s="38" t="inlineStr">
        <is>
          <t>Skip this tier for this specific trip; the budget 'none' option is the actual community-recommended answer</t>
        </is>
      </c>
      <c r="T121">
        <f>A121&amp;"|"&amp;C121</f>
        <v/>
      </c>
    </row>
    <row r="122">
      <c r="A122" s="37" t="inlineStr">
        <is>
          <t>knee_pads</t>
        </is>
      </c>
      <c r="B122" s="38" t="inlineStr">
        <is>
          <t>Knee protection for kneeling on wet gravel bars</t>
        </is>
      </c>
      <c r="C122" s="37" t="inlineStr">
        <is>
          <t>Budget</t>
        </is>
      </c>
      <c r="D122" s="37" t="inlineStr">
        <is>
          <t>Bodyprox</t>
        </is>
      </c>
      <c r="E122" s="37" t="inlineStr">
        <is>
          <t>Protective Knee Pads, Thick Sponge Anti-Slip Knee Sleeve</t>
        </is>
      </c>
      <c r="F122" s="39" t="n">
        <v>6</v>
      </c>
      <c r="G122" s="38" t="inlineStr">
        <is>
          <t>per pair, strap-on sleeve</t>
        </is>
      </c>
      <c r="H122" s="40" t="n">
        <v>15.99</v>
      </c>
      <c r="I122" s="41" t="inlineStr">
        <is>
          <t>https://www.amazon.com/gp/product/B01L379FPE</t>
        </is>
      </c>
      <c r="J122" s="38" t="inlineStr">
        <is>
          <t>n/a, cheap enough to buy new</t>
        </is>
      </c>
      <c r="K122" s="38" t="inlineStr">
        <is>
          <t>Amazon</t>
        </is>
      </c>
      <c r="L122" s="38" t="inlineStr">
        <is>
          <t>Jordan's pick 2026-09-23, replacing the flat foam gardening pad research flagged as not moving with you on uneven creek rock -- a strap-on sleeve that stays on through repeated kneel/reposition.</t>
        </is>
      </c>
      <c r="M122" s="38" t="inlineStr">
        <is>
          <t>https://www.amazon.com/gp/product/B01L379FPE</t>
        </is>
      </c>
      <c r="N122" s="38" t="inlineStr">
        <is>
          <t>cheap; closed-cell foam won't soak up cold creek water like open foam</t>
        </is>
      </c>
      <c r="O122" s="38" t="inlineStr">
        <is>
          <t>rubber straps can dig in/cut circulation over long sessions; less durable than gel or strap-adjustable options</t>
        </is>
      </c>
      <c r="P122" s="38" t="inlineStr">
        <is>
          <t>Good enough for occasional kneeling breaks between standing-and-panning stretches</t>
        </is>
      </c>
      <c r="Q122" s="37" t="n">
        <v>4</v>
      </c>
      <c r="R122" s="37" t="n">
        <v>1</v>
      </c>
      <c r="S122" s="38" t="inlineStr">
        <is>
          <t>Kneeling on wet gravel wicks heat fast even with a pad — don't stay kneeling for extended periods in cold water</t>
        </is>
      </c>
      <c r="T122">
        <f>A122&amp;"|"&amp;C122</f>
        <v/>
      </c>
    </row>
    <row r="123">
      <c r="A123" s="37" t="inlineStr">
        <is>
          <t>knee_pads</t>
        </is>
      </c>
      <c r="B123" s="38" t="inlineStr">
        <is>
          <t>Knee protection for kneeling on wet gravel bars</t>
        </is>
      </c>
      <c r="C123" s="37" t="inlineStr">
        <is>
          <t>Value</t>
        </is>
      </c>
      <c r="D123" s="37" t="inlineStr">
        <is>
          <t>Generic</t>
        </is>
      </c>
      <c r="E123" s="37" t="inlineStr">
        <is>
          <t>Neoprene Strap-On Knee Pads (gardening/volleyball style)</t>
        </is>
      </c>
      <c r="F123" s="39" t="n">
        <v>8</v>
      </c>
      <c r="G123" s="38" t="inlineStr">
        <is>
          <t>per pair</t>
        </is>
      </c>
      <c r="H123" s="40" t="n">
        <v>16</v>
      </c>
      <c r="I123" s="41" t="inlineStr">
        <is>
          <t>https://www.amazon.com/NoCry-Home-Gardening-Knee-Pads/dp/B06XJ2BFW7</t>
        </is>
      </c>
      <c r="J123" s="38" t="inlineStr">
        <is>
          <t>$6-10 used</t>
        </is>
      </c>
      <c r="K123" s="38" t="inlineStr">
        <is>
          <t>Amazon, Walmart</t>
        </is>
      </c>
      <c r="L123" s="38" t="inlineStr">
        <is>
          <t>GPAA and Prospecting Australia forum posters specifically prefer pads with neoprene Velcro straps over hard rubber straps, since neoprene doesn't cut into the leg during long kneeling sessions on hard wet rock.</t>
        </is>
      </c>
      <c r="M123" s="38" t="inlineStr">
        <is>
          <t>https://www.goldprospectors.org/Forum/aft/9275, https://www.prospectingaustralia.com/threads/knee-pads.3763/</t>
        </is>
      </c>
      <c r="N123" s="38" t="inlineStr">
        <is>
          <t>neoprene straps are far more comfortable than rubber over long sessions; adjustable fit over pants</t>
        </is>
      </c>
      <c r="O123" s="38" t="inlineStr">
        <is>
          <t>neoprene shell absorbs some water/cold vs a sealed foam pad</t>
        </is>
      </c>
      <c r="P123" s="38" t="inlineStr">
        <is>
          <t>A comfortable middle-ground option for a week of repeated kneeling</t>
        </is>
      </c>
      <c r="Q123" s="37" t="n">
        <v>5</v>
      </c>
      <c r="R123" s="37" t="n">
        <v>1</v>
      </c>
      <c r="S123" s="38" t="inlineStr"/>
      <c r="T123">
        <f>A123&amp;"|"&amp;C123</f>
        <v/>
      </c>
    </row>
    <row r="124">
      <c r="A124" s="37" t="inlineStr">
        <is>
          <t>knee_pads</t>
        </is>
      </c>
      <c r="B124" s="38" t="inlineStr">
        <is>
          <t>Knee protection for kneeling on wet gravel bars</t>
        </is>
      </c>
      <c r="C124" s="37" t="inlineStr">
        <is>
          <t>Premium</t>
        </is>
      </c>
      <c r="D124" s="37" t="inlineStr">
        <is>
          <t>MCR Safety / Rekket</t>
        </is>
      </c>
      <c r="E124" s="37" t="inlineStr">
        <is>
          <t>Gel-Cushion Kneeling Pad with adjustable straps</t>
        </is>
      </c>
      <c r="F124" s="39" t="n">
        <v>14</v>
      </c>
      <c r="G124" s="38" t="inlineStr">
        <is>
          <t>per pair, gel-insert work knee pad</t>
        </is>
      </c>
      <c r="H124" s="40" t="n">
        <v>28</v>
      </c>
      <c r="I124" s="41" t="inlineStr">
        <is>
          <t>https://forums.robsdetectors.com/topic/11798-best-knee-pads-ever/</t>
        </is>
      </c>
      <c r="J124" s="38" t="inlineStr">
        <is>
          <t>$10-15 used</t>
        </is>
      </c>
      <c r="K124" s="38" t="inlineStr">
        <is>
          <t>Amazon, hardware/work-gear stores</t>
        </is>
      </c>
      <c r="L124" s="38" t="inlineStr">
        <is>
          <t>Prospecting forum threads titled 'Best Knee Pads Ever' point to trade-quality gel work knee pads (built for flooring/construction workers) as the most comfortable option for hours of kneeling on hard, wet rock — genuinely built for all-day abuse.</t>
        </is>
      </c>
      <c r="M124" s="38" t="inlineStr">
        <is>
          <t>https://forums.robsdetectors.com/topic/11798-best-knee-pads-ever/</t>
        </is>
      </c>
      <c r="N124" s="38" t="inlineStr">
        <is>
          <t>gel cushioning is dramatically more comfortable over hours than foam; built for daily trade abuse — very durable</t>
        </is>
      </c>
      <c r="O124" s="38" t="inlineStr">
        <is>
          <t>heaviest and bulkiest of the three tiers; overkill for a single week trip</t>
        </is>
      </c>
      <c r="P124" s="38" t="inlineStr">
        <is>
          <t>The most comfortable option if hours of kneeling per day is the plan; likely more than needed for a casual trip</t>
        </is>
      </c>
      <c r="Q124" s="37" t="n">
        <v>3</v>
      </c>
      <c r="R124" s="37" t="n">
        <v>1</v>
      </c>
      <c r="S124" s="38" t="inlineStr"/>
      <c r="T124">
        <f>A124&amp;"|"&amp;C124</f>
        <v/>
      </c>
    </row>
    <row r="125">
      <c r="A125" s="37" t="inlineStr">
        <is>
          <t>gold_pan</t>
        </is>
      </c>
      <c r="B125" s="38" t="inlineStr">
        <is>
          <t>Primary gold pan for hand panning</t>
        </is>
      </c>
      <c r="C125" s="37" t="inlineStr">
        <is>
          <t>Budget</t>
        </is>
      </c>
      <c r="D125" s="37" t="inlineStr">
        <is>
          <t>Estwing</t>
        </is>
      </c>
      <c r="E125" s="37" t="inlineStr">
        <is>
          <t>BP-14 14" Black Plastic Gold Pan</t>
        </is>
      </c>
      <c r="F125" s="39" t="n">
        <v>9</v>
      </c>
      <c r="G125" s="38" t="inlineStr">
        <is>
          <t>per Toolup listing (verified live price)</t>
        </is>
      </c>
      <c r="H125" s="40" t="n">
        <v>7.26</v>
      </c>
      <c r="I125" s="41" t="inlineStr">
        <is>
          <t>https://toolup.com/products/estwing-bp-14-14-black-plastic-gold-pan-9-oz</t>
        </is>
      </c>
      <c r="J125" s="38" t="inlineStr">
        <is>
          <t>n/a, cheap enough to buy new</t>
        </is>
      </c>
      <c r="K125" s="38" t="inlineStr">
        <is>
          <t>Toolup, Amazon, Walmart (equivalent ASR Outdoor 14" also ~$9.99)</t>
        </is>
      </c>
      <c r="L125" s="38" t="inlineStr">
        <is>
          <t>Plastic pans in this class (Estwing BP-14, ASR Outdoor 14") are the standard cheap entry point recommended across TreasureNet/BladeForums threads for beginners — light, cheap, and the molded riffles work fine for learning technique before investing more.</t>
        </is>
      </c>
      <c r="M125" s="38" t="inlineStr">
        <is>
          <t>https://toolup.com/products/estwing-bp-14-14-black-plastic-gold-pan-9-oz, https://www.bladeforums.com/threads/anyone-gold-pan-what-pan-do-you-use.1117139/</t>
        </is>
      </c>
      <c r="N125" s="38" t="inlineStr">
        <is>
          <t>very cheap; lightweight for the backpack kit; black color shows gold well against contrast</t>
        </is>
      </c>
      <c r="O125" s="38" t="inlineStr">
        <is>
          <t>riffles are less refined than name-brand green pans — some fine gold can wash over them; less durable long-term than a purpose-engineered pan</t>
        </is>
      </c>
      <c r="P125" s="38" t="inlineStr">
        <is>
          <t>Perfectly fine starter pan for a group of first-timers learning technique</t>
        </is>
      </c>
      <c r="Q125" s="37" t="n">
        <v>5</v>
      </c>
      <c r="R125" s="37" t="n">
        <v>5</v>
      </c>
      <c r="S125" s="38" t="inlineStr">
        <is>
          <t>Great for beginners; experienced members of the group may prefer the value-tier Garrett</t>
        </is>
      </c>
      <c r="T125">
        <f>A125&amp;"|"&amp;C125</f>
        <v/>
      </c>
    </row>
    <row r="126">
      <c r="A126" s="37" t="inlineStr">
        <is>
          <t>gold_pan</t>
        </is>
      </c>
      <c r="B126" s="38" t="inlineStr">
        <is>
          <t>Primary gold pan for hand panning</t>
        </is>
      </c>
      <c r="C126" s="37" t="inlineStr">
        <is>
          <t>Value</t>
        </is>
      </c>
      <c r="D126" s="37" t="inlineStr">
        <is>
          <t>Garrett</t>
        </is>
      </c>
      <c r="E126" s="37" t="inlineStr">
        <is>
          <t>14" Gravity Trap Gold Pan (green)</t>
        </is>
      </c>
      <c r="F126" s="39" t="n">
        <v>10</v>
      </c>
      <c r="G126" s="38" t="inlineStr">
        <is>
          <t>per Garrett product spec</t>
        </is>
      </c>
      <c r="H126" s="40" t="n">
        <v>8.99</v>
      </c>
      <c r="I126" s="41" t="inlineStr">
        <is>
          <t>https://garrett.com/garrett-14-gold-trap-pan/</t>
        </is>
      </c>
      <c r="J126" s="38" t="inlineStr">
        <is>
          <t>$8-12 used</t>
        </is>
      </c>
      <c r="K126" s="38" t="inlineStr">
        <is>
          <t>Garrett.com, High Plains Prospectors, Amazon</t>
        </is>
      </c>
      <c r="L126"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6" s="38" t="inlineStr">
        <is>
          <t>https://cascadeprospecting.com/blog/best-gold-pans-reviewed-ranked/, https://www.treasurenet.com/threads/best-gold-pan.600896/</t>
        </is>
      </c>
      <c r="N126" s="38" t="inlineStr">
        <is>
          <t>sharper, deeper riffles retain more fine gold than generic pans; bright green improves gold visibility against black sand; virtually indestructible plastic, very light</t>
        </is>
      </c>
      <c r="O126" s="38" t="inlineStr">
        <is>
          <t>costs roughly double the cheapest option for a modest performance gain</t>
        </is>
      </c>
      <c r="P126" s="38" t="inlineStr">
        <is>
          <t>The pan most likely to actually catch Georgia's characteristically fine gold better than a generic pan</t>
        </is>
      </c>
      <c r="Q126" s="37" t="n">
        <v>5</v>
      </c>
      <c r="R126" s="37" t="n">
        <v>5</v>
      </c>
      <c r="S126" s="38" t="inlineStr">
        <is>
          <t>This is the pan genuinely worth buying one of per person if budget allows even a small step up from bare-minimum</t>
        </is>
      </c>
      <c r="T126">
        <f>A126&amp;"|"&amp;C126</f>
        <v/>
      </c>
    </row>
    <row r="127">
      <c r="A127" s="37" t="inlineStr">
        <is>
          <t>gold_pan</t>
        </is>
      </c>
      <c r="B127" s="38" t="inlineStr">
        <is>
          <t>Primary gold pan for hand panning</t>
        </is>
      </c>
      <c r="C127" s="37" t="inlineStr">
        <is>
          <t>Premium</t>
        </is>
      </c>
      <c r="D127" s="37" t="inlineStr">
        <is>
          <t>Garrett</t>
        </is>
      </c>
      <c r="E127" s="37" t="inlineStr">
        <is>
          <t>15" Super Sluice Gold Pan (two-stage riffle pan)</t>
        </is>
      </c>
      <c r="F127" s="39" t="n">
        <v>13</v>
      </c>
      <c r="G127" s="38" t="inlineStr">
        <is>
          <t>per Garrett/eBay listing</t>
        </is>
      </c>
      <c r="H127" s="40" t="n">
        <v>25</v>
      </c>
      <c r="I127" s="41" t="inlineStr">
        <is>
          <t>https://www.ebay.com/p/13011376003</t>
        </is>
      </c>
      <c r="J127" s="38" t="inlineStr">
        <is>
          <t>$12-18 used</t>
        </is>
      </c>
      <c r="K127" s="38" t="inlineStr">
        <is>
          <t>Garrett.com, eBay, High Plains Prospectors</t>
        </is>
      </c>
      <c r="L127"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7" s="38" t="inlineStr">
        <is>
          <t>https://cascadeprospecting.com/blog/best-gold-pans-reviewed-ranked/</t>
        </is>
      </c>
      <c r="N127" s="38" t="inlineStr">
        <is>
          <t>two-stage riffle system purpose-built for fine gold recovery; larger 15" size processes more material per pan; still light and unbreakable like other Garrett pans</t>
        </is>
      </c>
      <c r="O127" s="38" t="inlineStr">
        <is>
          <t>steeper learning curve than a simple traditional pan for total beginners; slightly heavier/bulkier for the backpack kit</t>
        </is>
      </c>
      <c r="P127" s="38" t="inlineStr">
        <is>
          <t>The best-performing pan for Georgia's fine gold, worth it for whoever in the group is most serious about maximizing recovery</t>
        </is>
      </c>
      <c r="Q127" s="37" t="n">
        <v>3</v>
      </c>
      <c r="R127" s="37" t="n">
        <v>5</v>
      </c>
      <c r="S127" s="38" t="inlineStr">
        <is>
          <t>Give this one to the most experienced panner in the group; give beginners the simpler Garrett Gravity Trap or Estwing pan to learn on</t>
        </is>
      </c>
      <c r="T127">
        <f>A127&amp;"|"&amp;C127</f>
        <v/>
      </c>
    </row>
    <row r="128">
      <c r="A128" s="37" t="inlineStr">
        <is>
          <t>classifier</t>
        </is>
      </c>
      <c r="B128" s="38" t="inlineStr">
        <is>
          <t>Classifier for sizing material before/during panning</t>
        </is>
      </c>
      <c r="C128" s="37" t="inlineStr">
        <is>
          <t>Budget</t>
        </is>
      </c>
      <c r="D128" s="37" t="inlineStr">
        <is>
          <t>ASR Outdoor</t>
        </is>
      </c>
      <c r="E128" s="37" t="inlineStr">
        <is>
          <t>1/2" Mesh Classifier</t>
        </is>
      </c>
      <c r="F128" s="39" t="n">
        <v>16</v>
      </c>
      <c r="G128" s="38" t="inlineStr">
        <is>
          <t>per prior project sourcing (ASR 1/4" model confirmed $28.99, 1/2" comparable)</t>
        </is>
      </c>
      <c r="H128" s="40" t="n">
        <v>25</v>
      </c>
      <c r="I128" s="41" t="inlineStr">
        <is>
          <t>https://asroutdoor.com/products/half-inch-plastic-sifting-screen-classifier-4-holes-per-square-inch</t>
        </is>
      </c>
      <c r="J128" s="38" t="inlineStr">
        <is>
          <t>$10-15 used</t>
        </is>
      </c>
      <c r="K128" s="38" t="inlineStr">
        <is>
          <t>Walmart, Amazon, ASR Outdoor</t>
        </is>
      </c>
      <c r="L128" s="38" t="inlineStr">
        <is>
          <t>A single 1/2" or 1/4" coarse classifier is the standard starting recommendation across prospecting guides — screening out rocks and gravel before panning dramatically speeds up recovery, and one screen covers most Georgia creek gravel.</t>
        </is>
      </c>
      <c r="M128" s="38" t="inlineStr">
        <is>
          <t>https://asroutdoor.com/blogs/journal/gold-classifier-screens-mesh-sizes-guide, https://panfortreasure.com/choosing-the-right-gold-classifier/</t>
        </is>
      </c>
      <c r="N128" s="38" t="inlineStr">
        <is>
          <t>cheap, effective first-stage screen; stackable with finer screens later if desired</t>
        </is>
      </c>
      <c r="O128" s="38" t="inlineStr">
        <is>
          <t>single mesh size means you still hand-sort some in-between material</t>
        </is>
      </c>
      <c r="P128" s="38" t="inlineStr">
        <is>
          <t>Sufficient for a first trip focused on learning technique in Georgia creek gravel</t>
        </is>
      </c>
      <c r="Q128" s="37" t="n">
        <v>5</v>
      </c>
      <c r="R128" s="37" t="n">
        <v>5</v>
      </c>
      <c r="S128" s="38" t="inlineStr">
        <is>
          <t>Georgia gold tends to be fine — pairing this with a finer second screen (see value tier) meaningfully improves recovery</t>
        </is>
      </c>
      <c r="T128">
        <f>A128&amp;"|"&amp;C128</f>
        <v/>
      </c>
    </row>
    <row r="129">
      <c r="A129" s="37" t="inlineStr">
        <is>
          <t>classifier</t>
        </is>
      </c>
      <c r="B129" s="38" t="inlineStr">
        <is>
          <t>Classifier for sizing material before/during panning</t>
        </is>
      </c>
      <c r="C129" s="37" t="inlineStr">
        <is>
          <t>Value</t>
        </is>
      </c>
      <c r="D129" s="37" t="inlineStr">
        <is>
          <t>Generic/ASR</t>
        </is>
      </c>
      <c r="E129" s="37" t="inlineStr">
        <is>
          <t>Stackable Classifier Set (1/2", 1/4", 1/8")</t>
        </is>
      </c>
      <c r="F129" s="39" t="n">
        <v>30</v>
      </c>
      <c r="G129" s="38" t="inlineStr">
        <is>
          <t>3-screen stacked set, estimate</t>
        </is>
      </c>
      <c r="H129" s="40" t="n">
        <v>75</v>
      </c>
      <c r="I129" s="41" t="inlineStr">
        <is>
          <t>https://www.walmart.com/ip/ASR-Outdoor-Gold-Panning-Classifier-Set-Mesh-Soil-Sifter-Coarse-Combo-1-2-1-4-1-8-Inch-Mesh/585755027</t>
        </is>
      </c>
      <c r="J129" s="38" t="inlineStr">
        <is>
          <t>$20-30 used</t>
        </is>
      </c>
      <c r="K129" s="38" t="inlineStr">
        <is>
          <t>High Plains Prospectors, Amazon</t>
        </is>
      </c>
      <c r="L129"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9" s="38" t="inlineStr">
        <is>
          <t>https://www.highplainsprospectors.com/products/sifting-pan, https://panfortreasure.com/gold-classifiers/</t>
        </is>
      </c>
      <c r="N129" s="38" t="inlineStr">
        <is>
          <t>multi-stage screening captures more fine gold than a single mesh; nests together for compact packing</t>
        </is>
      </c>
      <c r="O129" s="38" t="inlineStr">
        <is>
          <t>more gear to carry/track than a single classifier; costs more upfront</t>
        </is>
      </c>
      <c r="P129" s="38" t="inlineStr">
        <is>
          <t>Strong fit given Georgia's reputation for fine gold — worth it for the group's shared base-camp cleanup station</t>
        </is>
      </c>
      <c r="Q129" s="37" t="n">
        <v>4</v>
      </c>
      <c r="R129" s="37" t="n">
        <v>5</v>
      </c>
      <c r="S129" s="38" t="inlineStr">
        <is>
          <t>One shared set at the base-camp pan-out station, split 6 ways, rather than one per person | TIER ODDITY: Value ($75.00) costs more than Premium ($65.00) in this category -- kept as sourced, not auto-corrected.</t>
        </is>
      </c>
      <c r="T129">
        <f>A129&amp;"|"&amp;C129</f>
        <v/>
      </c>
    </row>
    <row r="130">
      <c r="A130" s="37" t="inlineStr">
        <is>
          <t>classifier</t>
        </is>
      </c>
      <c r="B130" s="38" t="inlineStr">
        <is>
          <t>Classifier for sizing material before/during panning</t>
        </is>
      </c>
      <c r="C130" s="37" t="inlineStr">
        <is>
          <t>Premium</t>
        </is>
      </c>
      <c r="D130" s="37" t="inlineStr">
        <is>
          <t>SE / Keene</t>
        </is>
      </c>
      <c r="E130" s="37" t="inlineStr">
        <is>
          <t>Stainless Mesh Classifier Set incl. 50-mesh fine screen</t>
        </is>
      </c>
      <c r="F130" s="39" t="n">
        <v>34</v>
      </c>
      <c r="G130" s="38" t="inlineStr">
        <is>
          <t>multi-screen stainless set, estimate</t>
        </is>
      </c>
      <c r="H130" s="40" t="n">
        <v>65</v>
      </c>
      <c r="I130" s="41" t="inlineStr">
        <is>
          <t>https://www.goldfeverprospecting.com/clscandsi.html</t>
        </is>
      </c>
      <c r="J130" s="38" t="inlineStr">
        <is>
          <t>$30-40 used</t>
        </is>
      </c>
      <c r="K130" s="38" t="inlineStr">
        <is>
          <t>Gold Fever Prospecting, High Plains Prospectors</t>
        </is>
      </c>
      <c r="L130"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30" s="38" t="inlineStr">
        <is>
          <t>https://www.goldfeverprospecting.com/clscandsi.html, https://panfortreasure.com/gold-classifiers/</t>
        </is>
      </c>
      <c r="N130" s="38" t="inlineStr">
        <is>
          <t>stainless mesh far more durable than plastic screens; 50-mesh fine screen catches gold a standard classifier set misses</t>
        </is>
      </c>
      <c r="O130" s="38" t="inlineStr">
        <is>
          <t>most expensive option, diminishing returns for a casual first trip; requires more cleanup technique to use the fine screen effectively</t>
        </is>
      </c>
      <c r="P130" s="38" t="inlineStr">
        <is>
          <t>Excellent if the goal is maximizing fine-gold recovery specifically; more setup than needed for a first casual trip</t>
        </is>
      </c>
      <c r="Q130" s="37" t="n">
        <v>2</v>
      </c>
      <c r="R130" s="37" t="n">
        <v>1</v>
      </c>
      <c r="S130" s="38" t="inlineStr">
        <is>
          <t>TIER ODDITY: Premium ($65.00) is cheaper than Value ($75.00) in this category -- kept as sourced.</t>
        </is>
      </c>
      <c r="T130">
        <f>A130&amp;"|"&amp;C130</f>
        <v/>
      </c>
    </row>
    <row r="131">
      <c r="A131" s="37" t="inlineStr">
        <is>
          <t>snuffer_bottle</t>
        </is>
      </c>
      <c r="B131" s="38" t="inlineStr">
        <is>
          <t>Snuffer bottle to suck up fine gold flakes from the pan</t>
        </is>
      </c>
      <c r="C131" s="37" t="inlineStr">
        <is>
          <t>Budget</t>
        </is>
      </c>
      <c r="D131" s="37" t="inlineStr">
        <is>
          <t>Generic</t>
        </is>
      </c>
      <c r="E131" s="37" t="inlineStr">
        <is>
          <t>Plastic Snuffer Bottle</t>
        </is>
      </c>
      <c r="F131" s="39" t="n">
        <v>1.5</v>
      </c>
      <c r="G131" s="38" t="inlineStr">
        <is>
          <t>typical squeeze snuffer bottle</t>
        </is>
      </c>
      <c r="H131" s="40" t="n">
        <v>4</v>
      </c>
      <c r="I131" s="41" t="inlineStr">
        <is>
          <t>https://www.highplainsprospectors.com/collections/gold-prospecting/vials-snuffer-bottles</t>
        </is>
      </c>
      <c r="J131" s="38" t="inlineStr">
        <is>
          <t>n/a, cheap enough to buy new</t>
        </is>
      </c>
      <c r="K131" s="38" t="inlineStr">
        <is>
          <t>High Plains Prospectors, Amazon</t>
        </is>
      </c>
      <c r="L131" s="38" t="inlineStr">
        <is>
          <t>A basic plastic snuffer bottle is the standard, no-debate tool for picking flakes out of the pan without losing them in the swirl — prospecting guides describe it (or a turkey baster in a pinch) as an essential, cheap must-have.</t>
        </is>
      </c>
      <c r="M131" s="38" t="inlineStr">
        <is>
          <t>https://www.highplainsprospectors.com/collections/gold-prospecting/vials-snuffer-bottles</t>
        </is>
      </c>
      <c r="N131" s="38" t="inlineStr">
        <is>
          <t>cheap, does the one job well; tiny and light</t>
        </is>
      </c>
      <c r="O131" s="38" t="inlineStr">
        <is>
          <t>plastic tip can crack/wear with heavy use</t>
        </is>
      </c>
      <c r="P131" s="38" t="inlineStr">
        <is>
          <t>All that's needed for a week of casual panning</t>
        </is>
      </c>
      <c r="Q131" s="37" t="n">
        <v>5</v>
      </c>
      <c r="R131" s="37" t="n">
        <v>5</v>
      </c>
      <c r="S131" s="38" t="inlineStr">
        <is>
          <t>Buy 1-2 per person — cheap enough that losing one isn't a big deal</t>
        </is>
      </c>
      <c r="T131">
        <f>A131&amp;"|"&amp;C131</f>
        <v/>
      </c>
    </row>
    <row r="132">
      <c r="A132" s="37" t="inlineStr">
        <is>
          <t>snuffer_bottle</t>
        </is>
      </c>
      <c r="B132" s="38" t="inlineStr">
        <is>
          <t>Snuffer bottle to suck up fine gold flakes from the pan</t>
        </is>
      </c>
      <c r="C132" s="37" t="inlineStr">
        <is>
          <t>Value</t>
        </is>
      </c>
      <c r="D132" s="37" t="inlineStr">
        <is>
          <t>Generic</t>
        </is>
      </c>
      <c r="E132" s="37" t="inlineStr">
        <is>
          <t>2-Pack Glass-Tip Snuffer Bottle with Tweezers</t>
        </is>
      </c>
      <c r="F132" s="39" t="n">
        <v>2</v>
      </c>
      <c r="G132" s="38" t="inlineStr">
        <is>
          <t>per pair, bundled with tweezers</t>
        </is>
      </c>
      <c r="H132" s="40" t="n">
        <v>11.99</v>
      </c>
      <c r="I132" s="41" t="inlineStr">
        <is>
          <t>https://www.amazon.com/Mining-Clean-Snuffer-Suction-Tweezers/dp/B01NBXHLVA</t>
        </is>
      </c>
      <c r="J132" s="38" t="inlineStr">
        <is>
          <t>n/a, cheap enough to buy new</t>
        </is>
      </c>
      <c r="K132" s="38" t="inlineStr">
        <is>
          <t>Adventures in Prospecting, Amazon</t>
        </is>
      </c>
      <c r="L132" s="38" t="inlineStr">
        <is>
          <t>Bundled fine-gold cleanup kits pairing a snuffer bottle with tweezers are a common step-up recommendation, since tweezers handle larger flakes that don't need suction, saving the snuffer's suction for genuinely fine material.</t>
        </is>
      </c>
      <c r="M132" s="38" t="inlineStr">
        <is>
          <t>https://www.adventuresinprospecting.com/products/fine-gold-recovery-clean-up-kit-vials-tweezers-snuffer-bottle-funnel-magnifer-1</t>
        </is>
      </c>
      <c r="N132" s="38" t="inlineStr">
        <is>
          <t>glass tip more durable than plastic; tweezers included cover larger flakes</t>
        </is>
      </c>
      <c r="O132" s="38" t="inlineStr">
        <is>
          <t>glass tip can chip if dropped on rock</t>
        </is>
      </c>
      <c r="P132" s="38" t="inlineStr">
        <is>
          <t>A nice small upgrade for the group's shared cleanup station</t>
        </is>
      </c>
      <c r="Q132" s="37" t="n">
        <v>5</v>
      </c>
      <c r="R132" s="37" t="n">
        <v>5</v>
      </c>
      <c r="S132" s="38" t="inlineStr">
        <is>
          <t>Replacement is APGOLF's single Clean Up Kit (vials + snuffer + tweezers), not a 2-pack glass-tip snuffer (the 2-pack glass-tip bottle w/ tweezers is no longer sold by any live Amazon listing).</t>
        </is>
      </c>
      <c r="T132">
        <f>A132&amp;"|"&amp;C132</f>
        <v/>
      </c>
    </row>
    <row r="133">
      <c r="A133" s="37" t="inlineStr">
        <is>
          <t>snuffer_bottle</t>
        </is>
      </c>
      <c r="B133" s="38" t="inlineStr">
        <is>
          <t>Snuffer bottle to suck up fine gold flakes from the pan</t>
        </is>
      </c>
      <c r="C133" s="37" t="inlineStr">
        <is>
          <t>Premium</t>
        </is>
      </c>
      <c r="D133" s="37" t="inlineStr">
        <is>
          <t>Gold Fever Prospecting</t>
        </is>
      </c>
      <c r="E133" s="37" t="inlineStr">
        <is>
          <t>Brass-Tip Snuffer Bottle Set</t>
        </is>
      </c>
      <c r="F133" s="39" t="n">
        <v>2.5</v>
      </c>
      <c r="G133" s="38" t="inlineStr">
        <is>
          <t>estimate, metal-tip snuffer</t>
        </is>
      </c>
      <c r="H133" s="40" t="n">
        <v>13</v>
      </c>
      <c r="I133" s="41" t="inlineStr">
        <is>
          <t>https://www.goldfeverprospecting.com/clscandsi.html</t>
        </is>
      </c>
      <c r="J133" s="38" t="inlineStr">
        <is>
          <t>n/a, cheap enough to buy new</t>
        </is>
      </c>
      <c r="K133" s="38" t="inlineStr">
        <is>
          <t>Gold Fever Prospecting, High Plains Prospectors</t>
        </is>
      </c>
      <c r="L133" s="38" t="inlineStr">
        <is>
          <t>Metal-tip snuffer bottles are favored by prospectors who do this regularly since the tip doesn't wear, crack, or deform the way plastic ones do after repeated seasons of use.</t>
        </is>
      </c>
      <c r="M133" s="38" t="inlineStr">
        <is>
          <t>https://www.goldfeverprospecting.com/clscandsi.html</t>
        </is>
      </c>
      <c r="N133" s="38" t="inlineStr">
        <is>
          <t>most durable tip material of the three tiers; won't degrade with repeated seasonal use</t>
        </is>
      </c>
      <c r="O133" s="38" t="inlineStr">
        <is>
          <t>marginal benefit over the value tier for a single trip</t>
        </is>
      </c>
      <c r="P133" s="38" t="inlineStr">
        <is>
          <t>Nice if this becomes a recurring hobby; unnecessary spend for one trip</t>
        </is>
      </c>
      <c r="Q133" s="37" t="n">
        <v>3</v>
      </c>
      <c r="R133" s="37" t="n">
        <v>5</v>
      </c>
      <c r="S133" s="38" t="inlineStr"/>
      <c r="T133">
        <f>A133&amp;"|"&amp;C133</f>
        <v/>
      </c>
    </row>
    <row r="134">
      <c r="A134" s="37" t="inlineStr">
        <is>
          <t>crevice_tools</t>
        </is>
      </c>
      <c r="B134" s="38" t="inlineStr">
        <is>
          <t>Crevice tools to pick gold out of bedrock cracks</t>
        </is>
      </c>
      <c r="C134" s="37" t="inlineStr">
        <is>
          <t>Budget</t>
        </is>
      </c>
      <c r="D134" s="37" t="inlineStr">
        <is>
          <t>ASR Outdoor</t>
        </is>
      </c>
      <c r="E134" s="37" t="inlineStr">
        <is>
          <t>Hook and Pick Precision Crevice Tool Set, 6 Pieces</t>
        </is>
      </c>
      <c r="F134" s="39" t="n">
        <v>4</v>
      </c>
      <c r="G134" s="38" t="inlineStr">
        <is>
          <t>per set</t>
        </is>
      </c>
      <c r="H134" s="40" t="n">
        <v>17.25</v>
      </c>
      <c r="I134" s="41" t="inlineStr">
        <is>
          <t>https://www.amazon.com/ASR-Outdoor-Precision-Prospecting-Crevice/dp/B09YCDQPL6</t>
        </is>
      </c>
      <c r="J134" s="38" t="inlineStr">
        <is>
          <t>n/a, cheap enough to buy new</t>
        </is>
      </c>
      <c r="K134" s="38" t="inlineStr">
        <is>
          <t>Amazon</t>
        </is>
      </c>
      <c r="L134" s="38" t="inlineStr">
        <is>
          <t>Bundled prospecting kits universally include a basic crevice pick set as core equipment for getting gold out of bedrock cracks and crevices — a simple, inexpensive, effective tool with no real debate around it.</t>
        </is>
      </c>
      <c r="M134" s="38" t="inlineStr">
        <is>
          <t>https://www.amazon.com/ASR-Outdoor-Precision-Prospecting-Crevice/dp/B09YCDQPL6</t>
        </is>
      </c>
      <c r="N134" s="38" t="inlineStr">
        <is>
          <t>cheap; does exactly what's needed</t>
        </is>
      </c>
      <c r="O134" s="38" t="inlineStr">
        <is>
          <t>basic metal can bend/dull with heavy rock use</t>
        </is>
      </c>
      <c r="P134" s="38" t="inlineStr">
        <is>
          <t>Good for the CNF-legal hand-pan-and-trowel approach — no sluicing or bank digging allowed, so crevice work at exposed bedrock is one of the few extra techniques permitted</t>
        </is>
      </c>
      <c r="Q134" s="37" t="n">
        <v>5</v>
      </c>
      <c r="R134" s="37" t="n">
        <v>5</v>
      </c>
      <c r="S134" s="38" t="inlineStr"/>
      <c r="T134">
        <f>A134&amp;"|"&amp;C134</f>
        <v/>
      </c>
    </row>
    <row r="135">
      <c r="A135" s="37" t="inlineStr">
        <is>
          <t>crevice_tools</t>
        </is>
      </c>
      <c r="B135" s="38" t="inlineStr">
        <is>
          <t>Crevice tools to pick gold out of bedrock cracks</t>
        </is>
      </c>
      <c r="C135" s="37" t="inlineStr">
        <is>
          <t>Value</t>
        </is>
      </c>
      <c r="D135" s="37" t="inlineStr">
        <is>
          <t>Generic</t>
        </is>
      </c>
      <c r="E135" s="37" t="inlineStr">
        <is>
          <t>Stainless Steel Crevice Tool Set with Magnet</t>
        </is>
      </c>
      <c r="F135" s="39" t="n">
        <v>6</v>
      </c>
      <c r="G135" s="38" t="inlineStr">
        <is>
          <t>per set</t>
        </is>
      </c>
      <c r="H135" s="40" t="n">
        <v>59.95</v>
      </c>
      <c r="I135" s="41" t="inlineStr">
        <is>
          <t>https://www.amazon.com/Gold-Digger-Ultimate-Prospecting-Crevice/dp/B0HFKW1ZG4</t>
        </is>
      </c>
      <c r="J135" s="38" t="inlineStr">
        <is>
          <t>$8-12 used</t>
        </is>
      </c>
      <c r="K135" s="38" t="inlineStr">
        <is>
          <t>Gold Fever Prospecting, Amazon</t>
        </is>
      </c>
      <c r="L135" s="38" t="inlineStr">
        <is>
          <t>A stainless set with an integrated magnet for pulling black sand/magnetite is a common step-up recommendation for cleanup efficiency — doesn't rust between uses and handles crevice work without dulling as fast as basic sets.</t>
        </is>
      </c>
      <c r="M135" s="38" t="inlineStr">
        <is>
          <t>https://www.goldfeverprospecting.com/clscandsi.html</t>
        </is>
      </c>
      <c r="N135" s="38" t="inlineStr">
        <is>
          <t>stainless won't rust after a wet week; built-in magnet speeds up black-sand cleanup</t>
        </is>
      </c>
      <c r="O135" s="38" t="inlineStr">
        <is>
          <t>marginally heavier than the basic plastic-handled set</t>
        </is>
      </c>
      <c r="P135" s="38" t="inlineStr">
        <is>
          <t>A useful, durable step up for the whole trip's daily use</t>
        </is>
      </c>
      <c r="Q135" s="37" t="n">
        <v>5</v>
      </c>
      <c r="R135" s="37" t="n">
        <v>5</v>
      </c>
      <c r="S135" s="38" t="inlineStr">
        <is>
          <t>TIER ODDITY: Value ($59.95) costs more than Premium ($25.00) in this category -- kept as sourced, not auto-corrected.</t>
        </is>
      </c>
      <c r="T135">
        <f>A135&amp;"|"&amp;C135</f>
        <v/>
      </c>
    </row>
    <row r="136">
      <c r="A136" s="37" t="inlineStr">
        <is>
          <t>crevice_tools</t>
        </is>
      </c>
      <c r="B136" s="38" t="inlineStr">
        <is>
          <t>Crevice tools to pick gold out of bedrock cracks</t>
        </is>
      </c>
      <c r="C136" s="37" t="inlineStr">
        <is>
          <t>Premium</t>
        </is>
      </c>
      <c r="D136" s="37" t="inlineStr">
        <is>
          <t>Garrett / Keene</t>
        </is>
      </c>
      <c r="E136" s="37" t="inlineStr">
        <is>
          <t>Branded Crevice Tool Kit</t>
        </is>
      </c>
      <c r="F136" s="39" t="n">
        <v>8</v>
      </c>
      <c r="G136" s="38" t="inlineStr">
        <is>
          <t>per set, branded prospecting-tool kit</t>
        </is>
      </c>
      <c r="H136" s="40" t="n">
        <v>25</v>
      </c>
      <c r="I136" s="41" t="inlineStr">
        <is>
          <t>https://garrett.com/garrett-14-gold-trap-pan/</t>
        </is>
      </c>
      <c r="J136" s="38" t="inlineStr">
        <is>
          <t>$12-16 used</t>
        </is>
      </c>
      <c r="K136" s="38" t="inlineStr">
        <is>
          <t>Garrett.com, High Plains Prospectors</t>
        </is>
      </c>
      <c r="L136" s="38" t="inlineStr">
        <is>
          <t>Branded crevice kits from established prospecting-tool makers get cited as the durable long-term option in gear guides, with hardened tips that hold up to repeated bedrock scraping better than generic imports.</t>
        </is>
      </c>
      <c r="M136" s="38" t="inlineStr">
        <is>
          <t>https://cascadeprospecting.com/blog/best-gold-pans-reviewed-ranked/</t>
        </is>
      </c>
      <c r="N136" s="38" t="inlineStr">
        <is>
          <t>hardened tips last longer against bedrock; backed by an established prospecting brand</t>
        </is>
      </c>
      <c r="O136" s="38" t="inlineStr">
        <is>
          <t>unnecessary spend for a casual first trip</t>
        </is>
      </c>
      <c r="P136" s="38" t="inlineStr">
        <is>
          <t>Nice for a recurring hobbyist; not essential for this trip</t>
        </is>
      </c>
      <c r="Q136" s="37" t="n">
        <v>3</v>
      </c>
      <c r="R136" s="37" t="n">
        <v>5</v>
      </c>
      <c r="S136" s="38" t="inlineStr">
        <is>
          <t>TIER ODDITY: Premium ($25.00) is cheaper than Value ($59.95) in this category -- kept as sourced.</t>
        </is>
      </c>
      <c r="T136">
        <f>A136&amp;"|"&amp;C136</f>
        <v/>
      </c>
    </row>
    <row r="137">
      <c r="A137" s="37" t="inlineStr">
        <is>
          <t>vials</t>
        </is>
      </c>
      <c r="B137" s="38" t="inlineStr">
        <is>
          <t>Storage vials for recovered gold</t>
        </is>
      </c>
      <c r="C137" s="37" t="inlineStr">
        <is>
          <t>Budget</t>
        </is>
      </c>
      <c r="D137" s="37" t="inlineStr">
        <is>
          <t>Generic</t>
        </is>
      </c>
      <c r="E137" s="37" t="inlineStr">
        <is>
          <t>Plastic Snap-Cap Vials (5-pack)</t>
        </is>
      </c>
      <c r="F137" s="39" t="n">
        <v>1</v>
      </c>
      <c r="G137" s="38" t="inlineStr">
        <is>
          <t>5-pack combined</t>
        </is>
      </c>
      <c r="H137" s="40" t="n">
        <v>5</v>
      </c>
      <c r="I137" s="41" t="inlineStr">
        <is>
          <t>https://www.highplainsprospectors.com/collections/gold-prospecting/vials-snuffer-bottles</t>
        </is>
      </c>
      <c r="J137" s="38" t="inlineStr">
        <is>
          <t>n/a, cheap enough to buy new</t>
        </is>
      </c>
      <c r="K137" s="38" t="inlineStr">
        <is>
          <t>High Plains Prospectors, Amazon</t>
        </is>
      </c>
      <c r="L137" s="38" t="inlineStr">
        <is>
          <t>Basic snap-cap plastic vials are the standard, unremarkable way most prospectors store daily finds — cheap and functional with no real community debate.</t>
        </is>
      </c>
      <c r="M137" s="38" t="inlineStr">
        <is>
          <t>https://www.highplainsprospectors.com/collections/gold-prospecting/vials-snuffer-bottles</t>
        </is>
      </c>
      <c r="N137" s="38" t="inlineStr">
        <is>
          <t>cheap; light</t>
        </is>
      </c>
      <c r="O137" s="38" t="inlineStr">
        <is>
          <t>snap caps can pop open if dropped/jostled in a pack</t>
        </is>
      </c>
      <c r="P137" s="38" t="inlineStr">
        <is>
          <t>Fine for a week's worth of finds; bring 2 per person as in the existing base plan</t>
        </is>
      </c>
      <c r="Q137" s="37" t="n">
        <v>5</v>
      </c>
      <c r="R137" s="37" t="n">
        <v>5</v>
      </c>
      <c r="S137" s="38" t="inlineStr"/>
      <c r="T137">
        <f>A137&amp;"|"&amp;C137</f>
        <v/>
      </c>
    </row>
    <row r="138">
      <c r="A138" s="37" t="inlineStr">
        <is>
          <t>vials</t>
        </is>
      </c>
      <c r="B138" s="38" t="inlineStr">
        <is>
          <t>Storage vials for recovered gold</t>
        </is>
      </c>
      <c r="C138" s="37" t="inlineStr">
        <is>
          <t>Value</t>
        </is>
      </c>
      <c r="D138" s="37" t="inlineStr">
        <is>
          <t>Generic</t>
        </is>
      </c>
      <c r="E138" s="37" t="inlineStr">
        <is>
          <t>Glass Vials with Foam-Lined Screw Caps (12-pack)</t>
        </is>
      </c>
      <c r="F138" s="39" t="n">
        <v>1.5</v>
      </c>
      <c r="G138" s="38" t="inlineStr">
        <is>
          <t>price is for the 12-pack, not per vial</t>
        </is>
      </c>
      <c r="H138" s="40" t="n">
        <v>9.99</v>
      </c>
      <c r="I138" s="41" t="inlineStr">
        <is>
          <t>https://www.amazon.com/ASR-Outdoor-Flake-Collection-Vials/dp/B010YGC7DM</t>
        </is>
      </c>
      <c r="J138" s="38" t="inlineStr">
        <is>
          <t>n/a, cheap enough to buy new</t>
        </is>
      </c>
      <c r="K138" s="38" t="inlineStr">
        <is>
          <t>High Plains Prospectors, Amazon</t>
        </is>
      </c>
      <c r="L138" s="38" t="inlineStr">
        <is>
          <t>Screw-cap glass vials with foam liners are a common step-up recommendation since they won't pop open accidentally like snap-cap plastic vials, and glass doesn't scratch/cloud over time.</t>
        </is>
      </c>
      <c r="M138" s="38" t="inlineStr">
        <is>
          <t>https://www.highplainsprospectors.com/collections/gold-prospecting/vials-snuffer-bottles</t>
        </is>
      </c>
      <c r="N138" s="38" t="inlineStr">
        <is>
          <t>screw cap won't pop open in a pack; glass stays clear, easy to see contents</t>
        </is>
      </c>
      <c r="O138" s="38" t="inlineStr">
        <is>
          <t>glass can break if dropped on rock</t>
        </is>
      </c>
      <c r="P138" s="38" t="inlineStr">
        <is>
          <t>A safer choice for carrying finds in a backpack over rough terrain</t>
        </is>
      </c>
      <c r="Q138" s="37" t="n">
        <v>5</v>
      </c>
      <c r="R138" s="37" t="n">
        <v>5</v>
      </c>
      <c r="S138" s="38" t="inlineStr">
        <is>
          <t>TIER ODDITY: Value ($9.99) costs more than Premium ($4.00) in this category -- kept as sourced, not auto-corrected.</t>
        </is>
      </c>
      <c r="T138">
        <f>A138&amp;"|"&amp;C138</f>
        <v/>
      </c>
    </row>
    <row r="139">
      <c r="A139" s="37" t="inlineStr">
        <is>
          <t>vials</t>
        </is>
      </c>
      <c r="B139" s="38" t="inlineStr">
        <is>
          <t>Storage vials for recovered gold</t>
        </is>
      </c>
      <c r="C139" s="37" t="inlineStr">
        <is>
          <t>Premium</t>
        </is>
      </c>
      <c r="D139" s="37" t="inlineStr">
        <is>
          <t>Generic</t>
        </is>
      </c>
      <c r="E139" s="37" t="inlineStr">
        <is>
          <t>Leak-Proof Glass Gold Vials with Measurement Markings</t>
        </is>
      </c>
      <c r="F139" s="39" t="n">
        <v>2</v>
      </c>
      <c r="G139" s="38" t="inlineStr">
        <is>
          <t>per vial</t>
        </is>
      </c>
      <c r="H139" s="40" t="n">
        <v>4</v>
      </c>
      <c r="I139" s="41" t="inlineStr">
        <is>
          <t>https://www.highplainsprospectors.com/collections/gold-prospecting/vials-snuffer-bottles</t>
        </is>
      </c>
      <c r="J139" s="38" t="inlineStr">
        <is>
          <t>n/a, cheap enough to buy new</t>
        </is>
      </c>
      <c r="K139" s="38" t="inlineStr">
        <is>
          <t>High Plains Prospectors</t>
        </is>
      </c>
      <c r="L139" s="38" t="inlineStr">
        <is>
          <t>Vials with volume markings let prospectors informally track how much they've recovered day to day — a nice-to-have feature cited in prospecting gear guides for people who like keeping a running tally.</t>
        </is>
      </c>
      <c r="M139" s="38" t="inlineStr">
        <is>
          <t>https://www.highplainsprospectors.com/collections/gold-prospecting/vials-snuffer-bottles</t>
        </is>
      </c>
      <c r="N139" s="38" t="inlineStr">
        <is>
          <t>measurement markings add a fun tracking element; leak-proof gasket seal</t>
        </is>
      </c>
      <c r="O139" s="38" t="inlineStr">
        <is>
          <t>marginal functional benefit over the value tier for a casual trip</t>
        </is>
      </c>
      <c r="P139" s="38" t="inlineStr">
        <is>
          <t>A fun nice-to-have, not a functional necessity</t>
        </is>
      </c>
      <c r="Q139" s="37" t="n">
        <v>4</v>
      </c>
      <c r="R139" s="37" t="n">
        <v>5</v>
      </c>
      <c r="S139" s="38" t="inlineStr">
        <is>
          <t>TIER ODDITY: Premium ($4.00) is cheaper than Value ($9.99) in this category -- kept as sourced.</t>
        </is>
      </c>
      <c r="T139">
        <f>A139&amp;"|"&amp;C139</f>
        <v/>
      </c>
    </row>
    <row r="140">
      <c r="A140" s="37" t="inlineStr">
        <is>
          <t>magnifier_loupe</t>
        </is>
      </c>
      <c r="B140" s="38" t="inlineStr">
        <is>
          <t>Magnifier/loupe to confirm gold vs pyrite/mica</t>
        </is>
      </c>
      <c r="C140" s="37" t="inlineStr">
        <is>
          <t>Budget</t>
        </is>
      </c>
      <c r="D140" s="37" t="inlineStr">
        <is>
          <t>Generic</t>
        </is>
      </c>
      <c r="E140" s="37" t="inlineStr">
        <is>
          <t>10x Plastic Keychain Loupe</t>
        </is>
      </c>
      <c r="F140" s="39" t="n">
        <v>1</v>
      </c>
      <c r="G140" s="38" t="inlineStr">
        <is>
          <t>typical keychain loupe</t>
        </is>
      </c>
      <c r="H140" s="40" t="n">
        <v>7.99</v>
      </c>
      <c r="I140" s="41" t="inlineStr">
        <is>
          <t>https://www.amazon.com/Keychain-Magnifier-Portable-Foldable-Magnifying/dp/B07RVF35W4</t>
        </is>
      </c>
      <c r="J140" s="38" t="inlineStr">
        <is>
          <t>n/a, cheap enough to buy new</t>
        </is>
      </c>
      <c r="K140" s="38" t="inlineStr">
        <is>
          <t>Amazon</t>
        </is>
      </c>
      <c r="L140" s="38" t="inlineStr">
        <is>
          <t>UK Gold Prospector's equipment guide and general prospecting advice both note a basic jeweler's loupe is enough to tell real gold from fool's gold (pyrite) or mica by checking for consistent malleable flattening vs. brittle sparkle.</t>
        </is>
      </c>
      <c r="M140" s="38" t="inlineStr">
        <is>
          <t>https://ukgoldprospector.co.uk/news/best-equipment-gold-prospecting-uk.html</t>
        </is>
      </c>
      <c r="N140" s="38" t="inlineStr">
        <is>
          <t>cheap, does the core job of ID'ing finds; tiny, clips to a keyring/zipper pull</t>
        </is>
      </c>
      <c r="O140" s="38" t="inlineStr">
        <is>
          <t>small lens, no light source for dim conditions</t>
        </is>
      </c>
      <c r="P140" s="38" t="inlineStr">
        <is>
          <t>Fine for confirming finds streamside in daylight</t>
        </is>
      </c>
      <c r="Q140" s="37" t="n">
        <v>5</v>
      </c>
      <c r="R140" s="37" t="n">
        <v>5</v>
      </c>
      <c r="S140" s="38" t="inlineStr">
        <is>
          <t>Replacement is Rongon 10x metal folding keychain loupe, not the original plastic keychain magnifier (original listing no longer sold).</t>
        </is>
      </c>
      <c r="T140">
        <f>A140&amp;"|"&amp;C140</f>
        <v/>
      </c>
    </row>
    <row r="141">
      <c r="A141" s="37" t="inlineStr">
        <is>
          <t>magnifier_loupe</t>
        </is>
      </c>
      <c r="B141" s="38" t="inlineStr">
        <is>
          <t>Magnifier/loupe to confirm gold vs pyrite/mica</t>
        </is>
      </c>
      <c r="C141" s="37" t="inlineStr">
        <is>
          <t>Value</t>
        </is>
      </c>
      <c r="D141" s="37" t="inlineStr">
        <is>
          <t>Generic</t>
        </is>
      </c>
      <c r="E141" s="37" t="inlineStr">
        <is>
          <t>30x60 Jeweler's Loupe with Built-In LED Light</t>
        </is>
      </c>
      <c r="F141" s="39" t="n">
        <v>2.5</v>
      </c>
      <c r="G141" s="38" t="inlineStr">
        <is>
          <t>typical illuminated folding loupe</t>
        </is>
      </c>
      <c r="H141" s="40" t="n">
        <v>8.98</v>
      </c>
      <c r="I141" s="41" t="inlineStr">
        <is>
          <t>https://www.amazon.com/JARLINK-Illuminated-Jewelers-Magnifier-Foldable/dp/B078N34WZR</t>
        </is>
      </c>
      <c r="J141" s="38" t="inlineStr">
        <is>
          <t>n/a, cheap enough to buy new</t>
        </is>
      </c>
      <c r="K141" s="38" t="inlineStr">
        <is>
          <t>Amazon</t>
        </is>
      </c>
      <c r="L141" s="38" t="inlineStr">
        <is>
          <t>Illuminated loupes are commonly bundled into complete prospecting kits since built-in LED lighting makes it much easier to inspect flakes in shaded creek banks or overcast October weather.</t>
        </is>
      </c>
      <c r="M141" s="38" t="inlineStr">
        <is>
          <t>https://www.amazon.com/Complete-Sluice-Equipment-Prospecting-Magnifier/dp/B0DBKVTLM7</t>
        </is>
      </c>
      <c r="N141" s="38" t="inlineStr">
        <is>
          <t>built-in light helps on overcast days or in tree shade; higher, more useful magnification range</t>
        </is>
      </c>
      <c r="O141" s="38" t="inlineStr">
        <is>
          <t>slightly bulkier than a bare keychain loupe</t>
        </is>
      </c>
      <c r="P141" s="38" t="inlineStr">
        <is>
          <t>A genuinely useful small upgrade for GA's often-shaded creek banks</t>
        </is>
      </c>
      <c r="Q141" s="37" t="n">
        <v>5</v>
      </c>
      <c r="R141" s="37" t="n">
        <v>5</v>
      </c>
      <c r="S141" s="38" t="inlineStr"/>
      <c r="T141">
        <f>A141&amp;"|"&amp;C141</f>
        <v/>
      </c>
    </row>
    <row r="142">
      <c r="A142" s="37" t="inlineStr">
        <is>
          <t>magnifier_loupe</t>
        </is>
      </c>
      <c r="B142" s="38" t="inlineStr">
        <is>
          <t>Magnifier/loupe to confirm gold vs pyrite/mica</t>
        </is>
      </c>
      <c r="C142" s="37" t="inlineStr">
        <is>
          <t>Premium</t>
        </is>
      </c>
      <c r="D142" s="37" t="inlineStr">
        <is>
          <t>Carson / Bausch &amp; Lomb</t>
        </is>
      </c>
      <c r="E142" s="37" t="inlineStr">
        <is>
          <t>10x Triplet Achromatic Loupe</t>
        </is>
      </c>
      <c r="F142" s="39" t="n">
        <v>2</v>
      </c>
      <c r="G142" s="38" t="inlineStr">
        <is>
          <t>typical premium triplet loupe</t>
        </is>
      </c>
      <c r="H142" s="40" t="n">
        <v>20</v>
      </c>
      <c r="I142" s="41" t="inlineStr">
        <is>
          <t>https://cooltools.us/products/loupe-triplet-10x</t>
        </is>
      </c>
      <c r="J142" s="38" t="inlineStr">
        <is>
          <t>$12-18 used</t>
        </is>
      </c>
      <c r="K142" s="38" t="inlineStr">
        <is>
          <t>Amazon, optics retailers</t>
        </is>
      </c>
      <c r="L142"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42" s="38" t="inlineStr">
        <is>
          <t>https://ukgoldprospector.co.uk/news/best-equipment-gold-prospecting-uk.html</t>
        </is>
      </c>
      <c r="N142" s="38" t="inlineStr">
        <is>
          <t>distortion-free optical quality; precise enough for real mineral ID, not just gold-spotting</t>
        </is>
      </c>
      <c r="O142" s="38" t="inlineStr">
        <is>
          <t>overkill precision for a casual group trip</t>
        </is>
      </c>
      <c r="P142" s="38" t="inlineStr">
        <is>
          <t>Nice if someone in the group is a serious rockhound; unnecessary for casual gold ID</t>
        </is>
      </c>
      <c r="Q142" s="37" t="n">
        <v>3</v>
      </c>
      <c r="R142" s="37" t="n">
        <v>5</v>
      </c>
      <c r="S142" s="38" t="inlineStr"/>
      <c r="T142">
        <f>A142&amp;"|"&amp;C142</f>
        <v/>
      </c>
    </row>
    <row r="143">
      <c r="A143" s="37" t="inlineStr">
        <is>
          <t>small_trowel</t>
        </is>
      </c>
      <c r="B143" s="38" t="inlineStr">
        <is>
          <t>Small trowel (CNF rules: hand pan + trowel only, no bank digging)</t>
        </is>
      </c>
      <c r="C143" s="37" t="inlineStr">
        <is>
          <t>Budget</t>
        </is>
      </c>
      <c r="D143" s="37" t="inlineStr">
        <is>
          <t>Generic</t>
        </is>
      </c>
      <c r="E143" s="37" t="inlineStr">
        <is>
          <t>Folding Garden Trowel</t>
        </is>
      </c>
      <c r="F143" s="39" t="n">
        <v>6</v>
      </c>
      <c r="G143" s="38" t="inlineStr">
        <is>
          <t>typical small garden trowel</t>
        </is>
      </c>
      <c r="H143" s="40" t="n">
        <v>6.28</v>
      </c>
      <c r="I143" s="41" t="inlineStr">
        <is>
          <t>https://www.walmart.com/ip/Fiskars-Indoor-and-More-Garden-Trowel-Soil-Scoop-Black/5371466767</t>
        </is>
      </c>
      <c r="J143" s="38" t="inlineStr">
        <is>
          <t>n/a, cheap enough to buy new</t>
        </is>
      </c>
      <c r="K143" s="38" t="inlineStr">
        <is>
          <t>Walmart, hardware store</t>
        </is>
      </c>
      <c r="L143" s="38" t="inlineStr">
        <is>
          <t>A basic garden trowel is the standard cheap tool prospecting guides list for scooping gravel into the pan — nothing fancy needed since Chattahoochee NF rules already prohibit bank digging, limiting trowel use to loose gravel-bar material.</t>
        </is>
      </c>
      <c r="M143" s="38" t="inlineStr">
        <is>
          <t>https://www.walmart.com/ip/613426092</t>
        </is>
      </c>
      <c r="N143" s="38" t="inlineStr">
        <is>
          <t>cheap; does the one legal job (scooping gravel-bar material) fine</t>
        </is>
      </c>
      <c r="O143" s="38" t="inlineStr">
        <is>
          <t>not built for backpacking weight savings; can bend on rocky ground</t>
        </is>
      </c>
      <c r="P143" s="38" t="inlineStr">
        <is>
          <t>Adequate for CNF-legal gravel-bar scooping</t>
        </is>
      </c>
      <c r="Q143" s="37" t="n">
        <v>5</v>
      </c>
      <c r="R143" s="37" t="n">
        <v>5</v>
      </c>
      <c r="S143" s="38" t="inlineStr">
        <is>
          <t>Remember: CNF rules are hand pan + trowel only — no sluices, no bank digging. This trowel is for loose streambed gravel, not excavating banks</t>
        </is>
      </c>
      <c r="T143">
        <f>A143&amp;"|"&amp;C143</f>
        <v/>
      </c>
    </row>
    <row r="144">
      <c r="A144" s="37" t="inlineStr">
        <is>
          <t>small_trowel</t>
        </is>
      </c>
      <c r="B144" s="38" t="inlineStr">
        <is>
          <t>Small trowel (CNF rules: hand pan + trowel only, no bank digging)</t>
        </is>
      </c>
      <c r="C144" s="37" t="inlineStr">
        <is>
          <t>Value</t>
        </is>
      </c>
      <c r="D144" s="37" t="inlineStr">
        <is>
          <t>TheTentLab</t>
        </is>
      </c>
      <c r="E144" s="37" t="inlineStr">
        <is>
          <t>The Deuce of Spades UL Trowel</t>
        </is>
      </c>
      <c r="F144" s="39" t="n">
        <v>0.6</v>
      </c>
      <c r="G144" s="38" t="inlineStr">
        <is>
          <t>per TheTentLab spec, titanium</t>
        </is>
      </c>
      <c r="H144" s="40" t="n">
        <v>20.95</v>
      </c>
      <c r="I144" s="41" t="inlineStr">
        <is>
          <t>https://www.thetentlab.com/Deuce/DeuceofSpadespage.html</t>
        </is>
      </c>
      <c r="J144" s="38" t="inlineStr">
        <is>
          <t>$12-16 used on r/UltralightExchange</t>
        </is>
      </c>
      <c r="K144" s="38" t="inlineStr">
        <is>
          <t>TheTentLab.com, REI, Amazon</t>
        </is>
      </c>
      <c r="L144"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4" s="38" t="inlineStr">
        <is>
          <t>https://www.rei.com/learn/expert-advice/best-hiking-pants.html</t>
        </is>
      </c>
      <c r="N144" s="38" t="inlineStr">
        <is>
          <t>dramatically lighter than any garden trowel (0.6 oz vs 6+ oz); titanium won't rust or bend; dual-purpose: doubles as the trip's cathole trowel too</t>
        </is>
      </c>
      <c r="O144" s="38" t="inlineStr">
        <is>
          <t>small scoop size means more scoops per pan-load; premium price for 'just a trowel'</t>
        </is>
      </c>
      <c r="P144" s="38" t="inlineStr">
        <is>
          <t>The best pick for the overnight backpack leg specifically — real weight savings that matters when carrying a full pack 3-5 miles</t>
        </is>
      </c>
      <c r="Q144" s="37" t="n">
        <v>4</v>
      </c>
      <c r="R144" s="37" t="n">
        <v>5</v>
      </c>
      <c r="S144" s="38" t="inlineStr">
        <is>
          <t>Carry this one on the overnight hike; a heavier garden trowel is fine to leave at base camp</t>
        </is>
      </c>
      <c r="T144">
        <f>A144&amp;"|"&amp;C144</f>
        <v/>
      </c>
    </row>
    <row r="145">
      <c r="A145" s="37" t="inlineStr">
        <is>
          <t>small_trowel</t>
        </is>
      </c>
      <c r="B145" s="38" t="inlineStr">
        <is>
          <t>Small trowel (CNF rules: hand pan + trowel only, no bank digging)</t>
        </is>
      </c>
      <c r="C145" s="37" t="inlineStr">
        <is>
          <t>Premium</t>
        </is>
      </c>
      <c r="D145" s="37" t="inlineStr">
        <is>
          <t>Generic</t>
        </is>
      </c>
      <c r="E145" s="37" t="inlineStr">
        <is>
          <t>Full-Tang Stainless Prospecting Hand Shovel</t>
        </is>
      </c>
      <c r="F145" s="39" t="n">
        <v>10</v>
      </c>
      <c r="G145" s="38" t="inlineStr">
        <is>
          <t>estimate, full-tang stainless prospecting trowel</t>
        </is>
      </c>
      <c r="H145" s="40" t="n">
        <v>28</v>
      </c>
      <c r="I145" s="41" t="inlineStr">
        <is>
          <t>https://www.goldfeverprospecting.com/clscandsi.html</t>
        </is>
      </c>
      <c r="J145" s="38" t="inlineStr">
        <is>
          <t>$12-18 used</t>
        </is>
      </c>
      <c r="K145" s="38" t="inlineStr">
        <is>
          <t>Gold Fever Prospecting, Amazon</t>
        </is>
      </c>
      <c r="L145" s="38" t="inlineStr">
        <is>
          <t>Full-tang stainless hand shovels marketed specifically for prospecting are favored by more serious hobbyists for durability against constant contact with rock and gravel — won't loosen at the handle the way cheap garden trowels eventually do.</t>
        </is>
      </c>
      <c r="M145" s="38" t="inlineStr">
        <is>
          <t>https://www.goldfeverprospecting.com/clscandsi.html</t>
        </is>
      </c>
      <c r="N145" s="38" t="inlineStr">
        <is>
          <t>most durable option for repeated gravel-bar scooping; full-tang construction won't loosen over time</t>
        </is>
      </c>
      <c r="O145" s="38" t="inlineStr">
        <is>
          <t>heaviest of the three tiers — not ideal for the backpack leg</t>
        </is>
      </c>
      <c r="P145" s="38" t="inlineStr">
        <is>
          <t>Good for base-camp use where weight doesn't matter; use the Deuce of Spades for the overnight hike instead</t>
        </is>
      </c>
      <c r="Q145" s="37" t="n">
        <v>3</v>
      </c>
      <c r="R145" s="37" t="n">
        <v>5</v>
      </c>
      <c r="S145" s="38" t="inlineStr"/>
      <c r="T145">
        <f>A145&amp;"|"&amp;C145</f>
        <v/>
      </c>
    </row>
    <row r="146">
      <c r="A146" s="37" t="inlineStr">
        <is>
          <t>bucket_scoop</t>
        </is>
      </c>
      <c r="B146" s="38" t="inlineStr">
        <is>
          <t>5-gal bucket/scoop for base-camp pan-out station</t>
        </is>
      </c>
      <c r="C146" s="37" t="inlineStr">
        <is>
          <t>Budget</t>
        </is>
      </c>
      <c r="D146" s="37" t="inlineStr">
        <is>
          <t>Generic</t>
        </is>
      </c>
      <c r="E146" s="37" t="inlineStr">
        <is>
          <t>Plain 5-Gallon Bucket</t>
        </is>
      </c>
      <c r="F146" s="39" t="n">
        <v>32</v>
      </c>
      <c r="G146" s="38" t="inlineStr">
        <is>
          <t>empty bucket estimate</t>
        </is>
      </c>
      <c r="H146" s="40" t="n">
        <v>5</v>
      </c>
      <c r="I146" s="41" t="inlineStr">
        <is>
          <t>https://www.homedepot.com/</t>
        </is>
      </c>
      <c r="J146" s="38" t="inlineStr">
        <is>
          <t>free if already owned</t>
        </is>
      </c>
      <c r="K146" s="38" t="inlineStr">
        <is>
          <t>Home Depot, Lowe's</t>
        </is>
      </c>
      <c r="L146" s="38" t="inlineStr">
        <is>
          <t>A plain hardware-store bucket is the universal, unremarkable base-camp tool for hauling gravel/concentrate to the cleanup station — no community debate, it's the cheapest option that works.</t>
        </is>
      </c>
      <c r="M146" s="38" t="inlineStr">
        <is>
          <t>https://www.homedepot.com/</t>
        </is>
      </c>
      <c r="N146" s="38" t="inlineStr">
        <is>
          <t>cheap; doubles as a wash tub/seat/storage at camp</t>
        </is>
      </c>
      <c r="O146" s="38" t="inlineStr">
        <is>
          <t>no built-in classifying function</t>
        </is>
      </c>
      <c r="P146" s="38" t="inlineStr">
        <is>
          <t>Perfectly fine for car-supported base camp use (not carried on the overnight)</t>
        </is>
      </c>
      <c r="Q146" s="37" t="n">
        <v>5</v>
      </c>
      <c r="R146" s="37" t="n">
        <v>1</v>
      </c>
      <c r="S146" s="38" t="inlineStr">
        <is>
          <t>Shared at base camp — no need for one per person</t>
        </is>
      </c>
      <c r="T146">
        <f>A146&amp;"|"&amp;C146</f>
        <v/>
      </c>
    </row>
    <row r="147">
      <c r="A147" s="37" t="inlineStr">
        <is>
          <t>bucket_scoop</t>
        </is>
      </c>
      <c r="B147" s="38" t="inlineStr">
        <is>
          <t>5-gal bucket/scoop for base-camp pan-out station</t>
        </is>
      </c>
      <c r="C147" s="37" t="inlineStr">
        <is>
          <t>Value</t>
        </is>
      </c>
      <c r="D147" s="37" t="inlineStr">
        <is>
          <t>Generic</t>
        </is>
      </c>
      <c r="E147" s="37" t="inlineStr">
        <is>
          <t>5-Gallon Bucket with Built-In Classifier Lid</t>
        </is>
      </c>
      <c r="F147" s="39" t="n">
        <v>40</v>
      </c>
      <c r="G147" s="38" t="inlineStr">
        <is>
          <t>bucket + mesh classifier lid, estimate</t>
        </is>
      </c>
      <c r="H147" s="40" t="n">
        <v>28</v>
      </c>
      <c r="I147" s="41" t="inlineStr">
        <is>
          <t>https://www.highplainsprospectors.com/collections/classifiers-new/gold-panning-kits</t>
        </is>
      </c>
      <c r="J147" s="38" t="inlineStr">
        <is>
          <t>$10-15 used</t>
        </is>
      </c>
      <c r="K147" s="38" t="inlineStr">
        <is>
          <t>High Plains Prospectors, Amazon</t>
        </is>
      </c>
      <c r="L147" s="38" t="inlineStr">
        <is>
          <t>Prospecting supply stores commonly sell bucket-lid classifier combos as a step up from a plain bucket, letting the group sieve gravel directly into the bucket at the pan-out station without a separate hand classifier.</t>
        </is>
      </c>
      <c r="M147" s="38" t="inlineStr">
        <is>
          <t>https://www.highplainsprospectors.com/collections/classifiers-new/gold-panning-kits</t>
        </is>
      </c>
      <c r="N147" s="38" t="inlineStr">
        <is>
          <t>built-in classifying saves a step at the cleanup station; still doubles as general camp storage/hauling</t>
        </is>
      </c>
      <c r="O147" s="38" t="inlineStr">
        <is>
          <t>pricier than a plain bucket for a convenience feature</t>
        </is>
      </c>
      <c r="P147" s="38" t="inlineStr">
        <is>
          <t>A nice group upgrade for the evening pan-out station</t>
        </is>
      </c>
      <c r="Q147" s="37" t="n">
        <v>4</v>
      </c>
      <c r="R147" s="37" t="n">
        <v>1</v>
      </c>
      <c r="S147" s="38" t="inlineStr"/>
      <c r="T147">
        <f>A147&amp;"|"&amp;C147</f>
        <v/>
      </c>
    </row>
    <row r="148">
      <c r="A148" s="37" t="inlineStr">
        <is>
          <t>bucket_scoop</t>
        </is>
      </c>
      <c r="B148" s="38" t="inlineStr">
        <is>
          <t>5-gal bucket/scoop for base-camp pan-out station</t>
        </is>
      </c>
      <c r="C148" s="37" t="inlineStr">
        <is>
          <t>Premium</t>
        </is>
      </c>
      <c r="D148" s="37" t="inlineStr">
        <is>
          <t>Keene / Homan</t>
        </is>
      </c>
      <c r="E148" s="37" t="inlineStr">
        <is>
          <t>Bucket Riffle/Classifier Combo Kit</t>
        </is>
      </c>
      <c r="F148" s="39" t="n">
        <v>48</v>
      </c>
      <c r="G148" s="38" t="inlineStr">
        <is>
          <t>estimate, full combo kit</t>
        </is>
      </c>
      <c r="H148" s="40" t="n">
        <v>45</v>
      </c>
      <c r="I148" s="41" t="inlineStr">
        <is>
          <t>https://www.highplainsprospectors.com/collections/classifiers-new/gold-panning-kits</t>
        </is>
      </c>
      <c r="J148" s="38" t="inlineStr">
        <is>
          <t>$20-30 used</t>
        </is>
      </c>
      <c r="K148" s="38" t="inlineStr">
        <is>
          <t>High Plains Prospectors, Keene.store</t>
        </is>
      </c>
      <c r="L148" s="38" t="inlineStr">
        <is>
          <t>Full riffle-bucket combo kits from established prospecting brands are aimed at people processing larger volumes of material at a base-camp cleanup station, letting the whole group's day's concentrate get pre-sorted efficiently before final panning.</t>
        </is>
      </c>
      <c r="M148" s="38" t="inlineStr">
        <is>
          <t>https://www.highplainsprospectors.com/collections/classifiers-new/gold-panning-kits</t>
        </is>
      </c>
      <c r="N148" s="38" t="inlineStr">
        <is>
          <t>most efficient setup for a 6-person group's daily concentrate; purpose-built prospecting-brand durability</t>
        </is>
      </c>
      <c r="O148" s="38" t="inlineStr">
        <is>
          <t>unnecessary expense/complexity for a casual first trip</t>
        </is>
      </c>
      <c r="P148" s="38" t="inlineStr">
        <is>
          <t>Overkill for this group's needs; the value tier bucket+lid does the job</t>
        </is>
      </c>
      <c r="Q148" s="37" t="n">
        <v>3</v>
      </c>
      <c r="R148" s="37" t="n">
        <v>1</v>
      </c>
      <c r="S148" s="38" t="inlineStr"/>
      <c r="T148">
        <f>A148&amp;"|"&amp;C148</f>
        <v/>
      </c>
    </row>
    <row r="149">
      <c r="A149" s="37" t="inlineStr">
        <is>
          <t>trail_pan_kit</t>
        </is>
      </c>
      <c r="B149" s="38" t="inlineStr">
        <is>
          <t>Compact panning kit carried in the backpack on the overnight leg</t>
        </is>
      </c>
      <c r="C149" s="37" t="inlineStr">
        <is>
          <t>Budget</t>
        </is>
      </c>
      <c r="D149" s="37" t="inlineStr">
        <is>
          <t>DIY assembled</t>
        </is>
      </c>
      <c r="E149" s="37" t="inlineStr">
        <is>
          <t>Estwing BP-14 pan + ASR 1/2" classifier + plastic snuffer + 2 vials</t>
        </is>
      </c>
      <c r="F149" s="39" t="n">
        <v>30</v>
      </c>
      <c r="G149" s="38" t="inlineStr">
        <is>
          <t>sum of budget-tier components above</t>
        </is>
      </c>
      <c r="H149" s="40" t="n">
        <v>7.26</v>
      </c>
      <c r="I149" s="41" t="inlineStr">
        <is>
          <t>https://toolup.com/products/estwing-bp-14-14-black-plastic-gold-pan-9-oz</t>
        </is>
      </c>
      <c r="J149" s="38" t="inlineStr">
        <is>
          <t>n/a, assemble from parts above</t>
        </is>
      </c>
      <c r="K149" s="38" t="inlineStr">
        <is>
          <t>Walmart, Amazon</t>
        </is>
      </c>
      <c r="L149"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9" s="38" t="inlineStr">
        <is>
          <t>https://toolup.com/products/estwing-bp-14-14-black-plastic-gold-pan-9-oz, https://asroutdoor.com/blogs/journal/gold-classifier-screens-mesh-sizes-guide</t>
        </is>
      </c>
      <c r="N149" s="38" t="inlineStr">
        <is>
          <t>cheapest way to a complete legal kit; no wasted weight/cost on prohibited sluice components; components already priced individually above</t>
        </is>
      </c>
      <c r="O149" s="38" t="inlineStr">
        <is>
          <t>not pre-packaged — you assemble and stuff-sack it yourself</t>
        </is>
      </c>
      <c r="P149" s="38" t="inlineStr">
        <is>
          <t>Ideal weight/cost for the one overnight hike — everything needed for CNF-legal hand panning, nothing more</t>
        </is>
      </c>
      <c r="Q149" s="37" t="n">
        <v>5</v>
      </c>
      <c r="R149" s="37" t="n">
        <v>1</v>
      </c>
      <c r="S149" s="38" t="inlineStr">
        <is>
          <t>Pack in a mesh bag separate from dry gear per the two-bag wet/dry system in Section C of the main gear plan</t>
        </is>
      </c>
      <c r="T149">
        <f>A149&amp;"|"&amp;C149</f>
        <v/>
      </c>
    </row>
    <row r="150">
      <c r="A150" s="37" t="inlineStr">
        <is>
          <t>trail_pan_kit</t>
        </is>
      </c>
      <c r="B150" s="38" t="inlineStr">
        <is>
          <t>Compact panning kit carried in the backpack on the overnight leg</t>
        </is>
      </c>
      <c r="C150" s="37" t="inlineStr">
        <is>
          <t>Value</t>
        </is>
      </c>
      <c r="D150" s="37" t="inlineStr">
        <is>
          <t>DigNew or equivalent</t>
        </is>
      </c>
      <c r="E150" s="37" t="inlineStr">
        <is>
          <t>Compact Prospecting Kit (pan, 2 classifiers, magnet, magnifier, 3 snuffers, 3 vials) minus sluice</t>
        </is>
      </c>
      <c r="F150" s="39" t="n">
        <v>38</v>
      </c>
      <c r="G150" s="38" t="inlineStr">
        <is>
          <t>per typical bundled-kit component list, sluice parts excluded/left home</t>
        </is>
      </c>
      <c r="H150" s="40" t="n">
        <v>40</v>
      </c>
      <c r="I150" s="41" t="inlineStr">
        <is>
          <t>https://www.amazon.com/Complete-Sluice-Equipment-Prospecting-Magnifier/dp/B0DBKVTLM7</t>
        </is>
      </c>
      <c r="J150" s="38" t="inlineStr">
        <is>
          <t>$18-25 used</t>
        </is>
      </c>
      <c r="K150" s="38" t="inlineStr">
        <is>
          <t>Amazon</t>
        </is>
      </c>
      <c r="L150"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50" s="38" t="inlineStr">
        <is>
          <t>https://www.amazon.com/Complete-Sluice-Equipment-Prospecting-Magnifier/dp/B0DBKVTLM7</t>
        </is>
      </c>
      <c r="N150" s="38" t="inlineStr">
        <is>
          <t>one purchase covers pan, classifier, magnet, magnifier, vials, snuffers; good value per accessory included</t>
        </is>
      </c>
      <c r="O150" s="38" t="inlineStr">
        <is>
          <t>includes sluice-box parts you can't legally use in Chattahoochee NF — extra weight/cost if you don't strip them out before packing</t>
        </is>
      </c>
      <c r="P150" s="38" t="inlineStr">
        <is>
          <t>Good value if you deliberately leave the sluice parts in the truck/at home and pack only the legal hand tools</t>
        </is>
      </c>
      <c r="Q150" s="37" t="n">
        <v>4</v>
      </c>
      <c r="R150" s="37" t="n">
        <v>1</v>
      </c>
      <c r="S150" s="38" t="inlineStr">
        <is>
          <t>Confirm before buying that the kit's non-sluice parts alone meet your needs — don't pay for parts you can't legally use here</t>
        </is>
      </c>
      <c r="T150">
        <f>A150&amp;"|"&amp;C150</f>
        <v/>
      </c>
    </row>
    <row r="151">
      <c r="A151" s="37" t="inlineStr">
        <is>
          <t>trail_pan_kit</t>
        </is>
      </c>
      <c r="B151" s="38" t="inlineStr">
        <is>
          <t>Compact panning kit carried in the backpack on the overnight leg</t>
        </is>
      </c>
      <c r="C151" s="37" t="inlineStr">
        <is>
          <t>Premium</t>
        </is>
      </c>
      <c r="D151" s="37" t="inlineStr">
        <is>
          <t>Garrett + Gold Fever Prospecting</t>
        </is>
      </c>
      <c r="E151" s="37" t="inlineStr">
        <is>
          <t>Curated kit: Garrett 14" Gravity Trap pan + stainless classifier set + stainless crevice tools + brass snuffer, packed in a dedicated mesh stuff sack</t>
        </is>
      </c>
      <c r="F151" s="39" t="n">
        <v>52</v>
      </c>
      <c r="G151" s="38" t="inlineStr">
        <is>
          <t>sum of premium/value-tier components above plus ~2oz mesh sack</t>
        </is>
      </c>
      <c r="H151" s="40" t="n">
        <v>69.98999999999999</v>
      </c>
      <c r="I151" s="41" t="inlineStr">
        <is>
          <t>https://www.amazon.com/Garrett-Deluxe-Gold-Pan-Kit/dp/B01LZI4OWD</t>
        </is>
      </c>
      <c r="J151" s="38" t="inlineStr">
        <is>
          <t>$45-65 assembled from used parts</t>
        </is>
      </c>
      <c r="K151" s="38" t="inlineStr">
        <is>
          <t>Garrett.com, Gold Fever Prospecting, High Plains Prospectors</t>
        </is>
      </c>
      <c r="L151"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51" s="38" t="inlineStr">
        <is>
          <t>https://cascadeprospecting.com/blog/best-gold-pans-reviewed-ranked/, https://www.treasurenet.com/threads/best-gold-pan.600896/</t>
        </is>
      </c>
      <c r="N151" s="38" t="inlineStr">
        <is>
          <t>every component chosen for durability and fine-gold performance; will last many seasons, not just this one trip; dedicated mesh sack keeps it self-contained and separate from dry gear</t>
        </is>
      </c>
      <c r="O151" s="38" t="inlineStr">
        <is>
          <t>most expensive assembled kit; heaviest of the three trail-kit tiers, though still light in absolute backpacking terms</t>
        </is>
      </c>
      <c r="P151" s="38" t="inlineStr">
        <is>
          <t>The right call for whoever in the group plans to keep prospecting after this trip; overkill just for a single outing</t>
        </is>
      </c>
      <c r="Q151" s="37" t="n">
        <v>3</v>
      </c>
      <c r="R151" s="37" t="n">
        <v>1</v>
      </c>
      <c r="S151" s="38" t="inlineStr">
        <is>
          <t>Assemble this from the individual premium/value picks above rather than buying a single bundled product. Old garrett.com link now resolves to just the bare 14" pan ($8.99), not a bundle -- replacement is the real Garrett Deluxe Gold Pan Kit (9-piece: 4 pans, classifier, snuffer bottle, tweezers, magnifier) sold on Amazon, the closest verified in-stock equivalent to this curated bundle (no exact stainless-crevice-tools + mesh-sack combo is currently sold as a single product).</t>
        </is>
      </c>
      <c r="T151">
        <f>A151&amp;"|"&amp;C151</f>
        <v/>
      </c>
    </row>
    <row r="152">
      <c r="A152" s="37" t="inlineStr">
        <is>
          <t>sleep_system_30f</t>
        </is>
      </c>
      <c r="B152" s="38" t="inlineStr">
        <is>
          <t>30F-rated sleeping bag/quilt (RECOMMENDED default -- beginner-safe pick)</t>
        </is>
      </c>
      <c r="C152" s="37" t="inlineStr">
        <is>
          <t>Budget</t>
        </is>
      </c>
      <c r="D152" s="37" t="inlineStr">
        <is>
          <t>Marmot</t>
        </is>
      </c>
      <c r="E152" s="37" t="inlineStr">
        <is>
          <t>Trestles 30</t>
        </is>
      </c>
      <c r="F152" s="39" t="n">
        <v>52</v>
      </c>
      <c r="G152" s="38" t="inlineStr">
        <is>
          <t>Men's Reg listed 1450-1560g (~51-55oz) synthetic fill per REI spec</t>
        </is>
      </c>
      <c r="H152" s="40" t="n">
        <v>99.95</v>
      </c>
      <c r="I152" s="41" t="inlineStr">
        <is>
          <t>https://www.rei.com/product/107474/marmot-trestles-30-sleeping-bag-mens</t>
        </is>
      </c>
      <c r="J152" s="38" t="inlineStr">
        <is>
          <t>$45-65 on REI Re/Gear</t>
        </is>
      </c>
      <c r="K152" s="38" t="inlineStr">
        <is>
          <t>REI, Marmot.com</t>
        </is>
      </c>
      <c r="L152" s="38" t="inlineStr">
        <is>
          <t>The standard budget synthetic 30F bag REI/CleverHiker point beginners to; synthetic fill keeps insulating if it gets damp, which matters given the wetter-than-normal Oct 2026 outlook.</t>
        </is>
      </c>
      <c r="M152" s="38" t="inlineStr">
        <is>
          <t>https://www.rei.com/product/107474/marmot-trestles-30-sleeping-bag-mens</t>
        </is>
      </c>
      <c r="N152" s="38" t="inlineStr">
        <is>
          <t>Synthetic — forgiving of damp tent/rain; full rectangular room; cheap enough for a first trip</t>
        </is>
      </c>
      <c r="O152" s="38" t="inlineStr">
        <is>
          <t>Bulkier/heavier than a 30F quilt; real-world warmth runs a few degrees warmer-rated</t>
        </is>
      </c>
      <c r="P152" s="38" t="inlineStr">
        <is>
          <t>Verified fit: Vogel Oct lows 2020-25 averaged 39-48F, coldest night 29F (2022); a 30F bag + puffy + base layer covers this with the El Nino warm/wet outlook</t>
        </is>
      </c>
      <c r="Q152" s="37" t="n">
        <v>5</v>
      </c>
      <c r="R152" s="37" t="n">
        <v>1</v>
      </c>
      <c r="S152" s="38" t="inlineStr">
        <is>
          <t>NEW group added 2026-09-21 alongside the existing 20F group per updated weather research; RECOMMENDED DEFAULT pick for this trip -- zippered synthetic bag is the beginner-safe choice for freezing/damp deer-season nights (no draft-sealing technique to learn)</t>
        </is>
      </c>
      <c r="T152">
        <f>A152&amp;"|"&amp;C152</f>
        <v/>
      </c>
    </row>
    <row r="153">
      <c r="A153" s="37" t="inlineStr">
        <is>
          <t>sleep_system_30f</t>
        </is>
      </c>
      <c r="B153" s="38" t="inlineStr">
        <is>
          <t>30F-rated sleeping bag/quilt (upgrade option, not the default -- BEGINNER CAUTION: quilt)</t>
        </is>
      </c>
      <c r="C153" s="37" t="inlineStr">
        <is>
          <t>Value</t>
        </is>
      </c>
      <c r="D153" s="37" t="inlineStr">
        <is>
          <t>Enlightened Equipment</t>
        </is>
      </c>
      <c r="E153" s="37" t="inlineStr">
        <is>
          <t>Revelation 30 (stock, 850fp)</t>
        </is>
      </c>
      <c r="F153" s="39" t="n">
        <v>19.8</v>
      </c>
      <c r="G153" s="38" t="inlineStr">
        <is>
          <t>Reg/Reg stock 850fp ~19.8oz per EE/retailer specs; all 30F+ quilts now include a draft collar</t>
        </is>
      </c>
      <c r="H153" s="40" t="n">
        <v>365</v>
      </c>
      <c r="I153" s="41" t="inlineStr">
        <is>
          <t>https://enlightenedequipment.com/revelation-sleeping-quilt/</t>
        </is>
      </c>
      <c r="J153" s="38" t="inlineStr">
        <is>
          <t>$180-240 on r/ULgeartrade</t>
        </is>
      </c>
      <c r="K153" s="38" t="inlineStr">
        <is>
          <t>Enlightened Equipment (direct)</t>
        </is>
      </c>
      <c r="L153" s="38" t="inlineStr">
        <is>
          <t>The most-recommended value 30F quilt on r/Ultralight — roughly half the weight of a synthetic 30F bag; needs a good pad seal and a dry bag inside the pack liner given the wetter outlook.</t>
        </is>
      </c>
      <c r="M153" s="38" t="inlineStr">
        <is>
          <t>https://www.garagegrowngear.com/products/revelation-850fp-by-enlightened-equipment; https://thetrek.co/enlightened-equipment-revelation-review/</t>
        </is>
      </c>
      <c r="N153" s="38" t="inlineStr">
        <is>
          <t>About half the weight/bulk of the budget synthetic 30F bag; draft collar now standard on 30F+; adjustable footbox</t>
        </is>
      </c>
      <c r="O153" s="38" t="inlineStr">
        <is>
          <t>Down needs to stay dry — non-negotiable dry-sack discipline given rain in the forecast; no zipper/hood, small learning curve</t>
        </is>
      </c>
      <c r="P153" s="38" t="inlineStr">
        <is>
          <t>30F with draft collar plus a puffy/base layer comfortably covers the verified 39-48F average lows and the one-off 29F cold night</t>
        </is>
      </c>
      <c r="Q153" s="37" t="n">
        <v>3</v>
      </c>
      <c r="R153" s="37" t="n">
        <v>1</v>
      </c>
      <c r="S153"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3">
        <f>A153&amp;"|"&amp;C153</f>
        <v/>
      </c>
    </row>
    <row r="154">
      <c r="A154" s="37" t="inlineStr">
        <is>
          <t>sleep_system_30f</t>
        </is>
      </c>
      <c r="B154" s="38" t="inlineStr">
        <is>
          <t>30F-rated sleeping bag/quilt (upgrade option, not the default -- BEGINNER CAUTION: quilt)</t>
        </is>
      </c>
      <c r="C154" s="37" t="inlineStr">
        <is>
          <t>Premium</t>
        </is>
      </c>
      <c r="D154" s="37" t="inlineStr">
        <is>
          <t>Katabatic Gear</t>
        </is>
      </c>
      <c r="E154" s="37" t="inlineStr">
        <is>
          <t>Flex 30</t>
        </is>
      </c>
      <c r="F154" s="39" t="n">
        <v>20.3</v>
      </c>
      <c r="G154" s="38" t="inlineStr">
        <is>
          <t>~575g (20.3oz) regular, 900fp water-resistant down, per Katabatic/retailer specs</t>
        </is>
      </c>
      <c r="H154" s="40" t="n">
        <v>365</v>
      </c>
      <c r="I154" s="41" t="inlineStr">
        <is>
          <t>https://katabaticgear.com/products/flex-30-ultralight-quilt</t>
        </is>
      </c>
      <c r="J154" s="38" t="inlineStr">
        <is>
          <t>$230-290 on r/ULgeartrade</t>
        </is>
      </c>
      <c r="K154" s="38" t="inlineStr">
        <is>
          <t>Katabatic Gear (direct)</t>
        </is>
      </c>
      <c r="L154" s="38" t="inlineStr">
        <is>
          <t>Katabatic's pad-attachment system is repeatedly cited (Backpacking Light, The Trek) as best-in-class for sealing drafts; hikers report comfort noticeably below the stated rating, giving real margin on a genuinely cold outlier night.</t>
        </is>
      </c>
      <c r="M154" s="38" t="inlineStr">
        <is>
          <t>https://thetrek.co/katabatic-gear-flex-30-ultralight-quilt-review/</t>
        </is>
      </c>
      <c r="N154" s="38" t="inlineStr">
        <is>
          <t>Best-in-class draft sealing; 900fp water-resistant down shrugs off tent-wall condensation better than standard down; real margin below 30F</t>
        </is>
      </c>
      <c r="O154" s="38" t="inlineStr">
        <is>
          <t>Same price as the value EE pick for a modest weight/performance gain — the value tier is the better dollar-for-dollar buy for a single trip</t>
        </is>
      </c>
      <c r="P154" s="38" t="inlineStr">
        <is>
          <t>Comfort margin below the 30F rating covers an unusually cold, damp night with room to spare</t>
        </is>
      </c>
      <c r="Q154" s="37" t="n">
        <v>2</v>
      </c>
      <c r="R154" s="37" t="n">
        <v>1</v>
      </c>
      <c r="S154" s="38" t="inlineStr">
        <is>
          <t>NEW group added 2026-09-21. TIER ODDITY: priced the same as the Value pick ($365 vs $365) — kept as sourced (current MSRP), not adjusted</t>
        </is>
      </c>
      <c r="T154">
        <f>A154&amp;"|"&amp;C154</f>
        <v/>
      </c>
    </row>
  </sheetData>
  <autoFilter ref="A1:S154"/>
  <conditionalFormatting sqref="C2:C154">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~$160-175/person split 5 ways. Personal-only rows (chairs, vials, snuffers) are cheap enough to just buy 5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9"/>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row r="49">
      <c r="A49" s="11">
        <f>Picker!A49</f>
        <v/>
      </c>
      <c r="B49" s="11">
        <f>Picker!B49</f>
        <v/>
      </c>
      <c r="C49" s="11">
        <f>Picker!G49</f>
        <v/>
      </c>
      <c r="D49" s="11" t="inlineStr">
        <is>
          <t>☐</t>
        </is>
      </c>
    </row>
  </sheetData>
  <conditionalFormatting sqref="A2:A7">
    <cfRule type="expression" priority="1" dxfId="7">
      <formula>$A2=$A2</formula>
    </cfRule>
  </conditionalFormatting>
  <conditionalFormatting sqref="A8:A35">
    <cfRule type="expression" priority="2" dxfId="7">
      <formula>$A8=$A8</formula>
    </cfRule>
  </conditionalFormatting>
  <conditionalFormatting sqref="A36:A43">
    <cfRule type="expression" priority="3" dxfId="7">
      <formula>$A36=$A36</formula>
    </cfRule>
  </conditionalFormatting>
  <conditionalFormatting sqref="A44:A49">
    <cfRule type="expression" priority="4" dxfId="7">
      <formula>$A44=$A44</formula>
    </cfRule>
  </conditionalFormatting>
  <dataValidations count="1">
    <dataValidation sqref="D2 D3 D4 D5 D6 D7 D8 D9 D10 D11 D12 D13 D14 D15 D16 D17 D18 D19 D20 D21 D22 D23 D24 D25 D26 D27 D28 D29 D30 D31 D32 D33 D34 D35 D36 D37 D38 D39 D40 D41 D42 D43 D44 D45 D46 D47 D48 D49"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2026-10-03T01:58:02Z</dcterms:created>
  <dcterms:modified xsi:type="dcterms:W3CDTF">2026-10-03T01:58:02Z</dcterms:modified>
</cp:coreProperties>
</file>