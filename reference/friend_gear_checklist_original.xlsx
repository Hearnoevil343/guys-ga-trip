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3d90867a6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c25396b00e4079"/>
    <x:sheet xmlns:r="http://schemas.openxmlformats.org/officeDocument/2006/relationships" name="Gear Checklist" sheetId="2" r:id="Red0b8f4e7bb74271"/>
    <x:sheet xmlns:r="http://schemas.openxmlformats.org/officeDocument/2006/relationships" name="Lists" sheetId="3" r:id="R2325609e5650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4532D"/>
      </x:patternFill>
    </x:fill>
    <x:fill>
      <x:patternFill patternType="solid">
        <x:fgColor rgb="DCFCE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4873f09a6450b" /><Relationship Type="http://schemas.openxmlformats.org/officeDocument/2006/relationships/theme" Target="/xl/theme/theme1.xml" Id="Rf83e7eb7463a4cc9" /><Relationship Type="http://schemas.openxmlformats.org/officeDocument/2006/relationships/sharedStrings" Target="/xl/sharedStrings.xml" Id="Raf0572c782284d9f" /><Relationship Type="http://schemas.openxmlformats.org/officeDocument/2006/relationships/worksheet" Target="/xl/worksheets/sheet1.xml" Id="R26c25396b00e4079" /><Relationship Type="http://schemas.openxmlformats.org/officeDocument/2006/relationships/worksheet" Target="/xl/worksheets/sheet2.xml" Id="Red0b8f4e7bb74271" /><Relationship Type="http://schemas.openxmlformats.org/officeDocument/2006/relationships/worksheet" Target="/xl/worksheets/sheet3.xml" Id="R2325609e565044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b19163412946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Carry lb</c:v>
          </c:tx>
          <c:cat>
            <c:strRef>
              <c:f>'Summary'!$A$14:$A$26</c:f>
              <c:strCache>
                <c:ptCount val="0"/>
              </c:strCache>
            </c:strRef>
          </c:cat>
          <c:val>
            <c:numRef>
              <c:f>'Summary'!$E$14:$E$26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b19163412946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ategorySummaryTable" displayName="CategorySummaryTable" ref="A13:H26" headerRowCount="1">
  <x:tableColumns count="8">
    <x:tableColumn id="1" name="Category"/>
    <x:tableColumn id="2" name="Item Count"/>
    <x:tableColumn id="3" name="Packed Count"/>
    <x:tableColumn id="4" name="Total Wt (lb)"/>
    <x:tableColumn id="5" name="My Carry Wt (lb)"/>
    <x:tableColumn id="6" name="Must-have Count"/>
    <x:tableColumn id="7" name="Buy Count"/>
    <x:tableColumn id="8" name="Borrow Count"/>
  </x:tableColumns>
  <x:tableStyleInfo name="TableStyleMedium2" showRowStripes="1"/>
</x:table>
</file>

<file path=xl/tables/table2.xml><?xml version="1.0" encoding="utf-8"?>
<x:table xmlns:x="http://schemas.openxmlformats.org/spreadsheetml/2006/main" id="1" name="GearChecklistTable" displayName="GearChecklistTable" ref="A4:R74" headerRowCount="1">
  <x:tableColumns count="18">
    <x:tableColumn id="1" name="Packed?"/>
    <x:tableColumn id="2" name="Category"/>
    <x:tableColumn id="3" name="Item"/>
    <x:tableColumn id="4" name="Suggested Brand / Model"/>
    <x:tableColumn id="5" name="Qty"/>
    <x:tableColumn id="6" name="Unit Wt (oz)"/>
    <x:tableColumn id="7" name="Total Wt (oz)"/>
    <x:tableColumn id="8" name="Total Wt (lb)"/>
    <x:tableColumn id="9" name="Include in Carry?"/>
    <x:tableColumn id="10" name="Assigned To"/>
    <x:tableColumn id="11" name="Shared?"/>
    <x:tableColumn id="12" name="Split Count"/>
    <x:tableColumn id="13" name="My Carry Wt (oz)"/>
    <x:tableColumn id="14" name="My Carry Wt (lb)"/>
    <x:tableColumn id="15" name="Priority"/>
    <x:tableColumn id="16" name="Packed Location"/>
    <x:tableColumn id="17" name="Status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3f2546adda48ce" /><Relationship Type="http://schemas.openxmlformats.org/officeDocument/2006/relationships/table" Target="/xl/tables/table1.xml" Id="Rae210c7b039d40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b01ba0b1fc4c5c" /></Relationships>
</file>

<file path=xl/worksheets/sheet1.xml><?xml version="1.0" encoding="utf-8"?>
<x:worksheet xmlns:x="http://schemas.openxmlformats.org/spreadsheetml/2006/main">
  <x:sheetFormatPr defaultRowHeight="15"/>
  <x:cols>
    <x:col min="10" max="10" width="18" hidden="0" customWidth="1"/>
    <x:col min="11" max="11" width="52" hidden="0" customWidth="1"/>
    <x:col min="1" max="1" width="24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0" t="str">
        <x:v>Primitive Camping Gear Weight Dashboard</x:v>
      </x:c>
    </x:row>
    <x:row r="2">
      <x:c r="A2" s="16" t="str">
        <x:v>Use this dashboard to track packed status, total gear weight, and your personal carried share after splitting group items.</x:v>
      </x:c>
    </x:row>
    <x:row r="4">
      <x:c r="A4" s="21" t="str">
        <x:v>Metric</x:v>
      </x:c>
      <x:c r="B4" s="21" t="str">
        <x:v>Value</x:v>
      </x:c>
      <x:c r="C4" s="21" t="str">
        <x:v>Units</x:v>
      </x:c>
      <x:c r="D4" s="21" t="str">
        <x:v>Formula / Meaning</x:v>
      </x:c>
      <x:c r="J4" s="4" t="str">
        <x:v>How to Use</x:v>
      </x:c>
    </x:row>
    <x:row r="5">
      <x:c r="A5" s="26" t="str">
        <x:v>Total gear weight</x:v>
      </x:c>
      <x:c r="B5" s="28" t="n">
        <x:f>SUM('Gear Checklist'!H5:H74)</x:f>
        <x:v>67.28125</x:v>
      </x:c>
      <x:c r="C5" s="26" t="str">
        <x:v>lb</x:v>
      </x:c>
      <x:c r="D5" s="26" t="str">
        <x:v>All listed gear weight, including vehicle cache</x:v>
      </x:c>
      <x:c r="J5" s="43" t="str">
        <x:v>1</x:v>
      </x:c>
      <x:c r="K5" s="26" t="str">
        <x:v>Replace the suggested Unit Wt (oz) with your actual scale weight as you buy/borrow items.</x:v>
      </x:c>
    </x:row>
    <x:row r="6">
      <x:c r="A6" s="26" t="str">
        <x:v>Total carried weight - my share</x:v>
      </x:c>
      <x:c r="B6" s="28" t="n">
        <x:f>SUM('Gear Checklist'!N5:N74)</x:f>
        <x:v>29.656250000000004</x:v>
      </x:c>
      <x:c r="C6" s="26" t="str">
        <x:v>lb</x:v>
      </x:c>
      <x:c r="D6" s="26" t="str">
        <x:v>Includes only rows marked Include in Carry? = Yes</x:v>
      </x:c>
      <x:c r="J6" s="43" t="str">
        <x:v>2</x:v>
      </x:c>
      <x:c r="K6" s="26" t="str">
        <x:v>Use Packed? = ☑ when the item is packed, not merely owned.</x:v>
      </x:c>
    </x:row>
    <x:row r="7">
      <x:c r="A7" s="26" t="str">
        <x:v>Backpack/daypack carry weight - my share</x:v>
      </x:c>
      <x:c r="B7" s="28" t="n">
        <x:f>SUMIFS('Gear Checklist'!N5:N74,'Gear Checklist'!P5:P74,"Backpack")+SUMIFS('Gear Checklist'!N5:N74,'Gear Checklist'!P5:P74,"Daypack")</x:f>
        <x:v>17.09375</x:v>
      </x:c>
      <x:c r="C7" s="26" t="str">
        <x:v>lb</x:v>
      </x:c>
      <x:c r="D7" s="26" t="str">
        <x:v>My carry weight for Backpack or Daypack locations</x:v>
      </x:c>
      <x:c r="J7" s="43" t="str">
        <x:v>3</x:v>
      </x:c>
      <x:c r="K7" s="26" t="str">
        <x:v>For shared items, set Shared? = Yes and Split Count to the number of people splitting the weight.</x:v>
      </x:c>
    </x:row>
    <x:row r="8">
      <x:c r="A8" s="26" t="str">
        <x:v>Vehicle / cache weight</x:v>
      </x:c>
      <x:c r="B8" s="28" t="n">
        <x:f>SUMIFS('Gear Checklist'!H5:H74,'Gear Checklist'!I5:I74,"No")</x:f>
        <x:v>35.375</x:v>
      </x:c>
      <x:c r="C8" s="26" t="str">
        <x:v>lb</x:v>
      </x:c>
      <x:c r="D8" s="26" t="str">
        <x:v>Items intentionally excluded from carry</x:v>
      </x:c>
      <x:c r="J8" s="43" t="str">
        <x:v>4</x:v>
      </x:c>
      <x:c r="K8" s="26" t="str">
        <x:v>Set Include in Carry? = No for vehicle cache, creek-only gear, or anything you will not carry on foot.</x:v>
      </x:c>
    </x:row>
    <x:row r="9">
      <x:c r="A9" s="26" t="str">
        <x:v>Packed completion</x:v>
      </x:c>
      <x:c r="B9" s="46" t="n">
        <x:f>COUNTIF('Gear Checklist'!A5:A74,"☑")/COUNTA('Gear Checklist'!C5:C74)</x:f>
        <x:v>0</x:v>
      </x:c>
      <x:c r="C9" s="26" t="str">
        <x:v>%</x:v>
      </x:c>
      <x:c r="D9" s="26" t="str">
        <x:v>Checked-off rows divided by total item rows</x:v>
      </x:c>
      <x:c r="J9" s="43" t="str">
        <x:v>5</x:v>
      </x:c>
      <x:c r="K9" s="26" t="str">
        <x:v>Use Status = Buy/Borrow to turn the sheet into a shopping list before the trip.</x:v>
      </x:c>
    </x:row>
    <x:row r="10">
      <x:c r="A10" s="26" t="str">
        <x:v>Items still not checked</x:v>
      </x:c>
      <x:c r="B10" s="47" t="n">
        <x:f>COUNTA('Gear Checklist'!C5:C74)-COUNTIF('Gear Checklist'!A5:A74,"☑")</x:f>
        <x:v>70</x:v>
      </x:c>
      <x:c r="C10" s="26" t="str">
        <x:v>count</x:v>
      </x:c>
      <x:c r="D10" s="26" t="str">
        <x:v>Rows not marked ☑</x:v>
      </x:c>
    </x:row>
    <x:row r="12">
      <x:c r="A12" s="38" t="str">
        <x:v>Category Weight Summary</x:v>
      </x:c>
    </x:row>
    <x:row r="13">
      <x:c r="A13" s="21" t="str">
        <x:v>Category</x:v>
      </x:c>
      <x:c r="B13" s="21" t="str">
        <x:v>Item Count</x:v>
      </x:c>
      <x:c r="C13" s="21" t="str">
        <x:v>Packed Count</x:v>
      </x:c>
      <x:c r="D13" s="21" t="str">
        <x:v>Total Wt (lb)</x:v>
      </x:c>
      <x:c r="E13" s="21" t="str">
        <x:v>My Carry Wt (lb)</x:v>
      </x:c>
      <x:c r="F13" s="21" t="str">
        <x:v>Must-have Count</x:v>
      </x:c>
      <x:c r="G13" s="21" t="str">
        <x:v>Buy Count</x:v>
      </x:c>
      <x:c r="H13" s="21" t="str">
        <x:v>Borrow Count</x:v>
      </x:c>
    </x:row>
    <x:row r="14">
      <x:c r="A14" s="26" t="str">
        <x:v>Personal Camping Supplies</x:v>
      </x:c>
      <x:c r="B14" s="26" t="n">
        <x:f>COUNTIF('Gear Checklist'!$B$5:$B$74,A14)</x:f>
        <x:v>4</x:v>
      </x:c>
      <x:c r="C14" s="26" t="n">
        <x:f>COUNTIFS('Gear Checklist'!$B$5:$B$74,A14,'Gear Checklist'!$A$5:$A$74,"☑")</x:f>
        <x:v>0</x:v>
      </x:c>
      <x:c r="D14" s="28" t="n">
        <x:f>SUMIFS('Gear Checklist'!$H$5:$H$74,'Gear Checklist'!$B$5:$B$74,A14)</x:f>
        <x:v>5.0125</x:v>
      </x:c>
      <x:c r="E14" s="28" t="n">
        <x:f>SUMIFS('Gear Checklist'!$N$5:$N$74,'Gear Checklist'!$B$5:$B$74,A14)</x:f>
        <x:v>3.35</x:v>
      </x:c>
      <x:c r="F14" s="26" t="n">
        <x:f>COUNTIFS('Gear Checklist'!$B$5:$B$74,A14,'Gear Checklist'!$O$5:$O$74,"Must-have")</x:f>
        <x:v>2</x:v>
      </x:c>
      <x:c r="G14" s="26" t="n">
        <x:f>COUNTIFS('Gear Checklist'!$B$5:$B$74,A14,'Gear Checklist'!$Q$5:$Q$74,"Buy")</x:f>
        <x:v>0</x:v>
      </x:c>
      <x:c r="H14" s="26" t="n">
        <x:f>COUNTIFS('Gear Checklist'!$B$5:$B$74,A14,'Gear Checklist'!$Q$5:$Q$74,"Borrow")</x:f>
        <x:v>0</x:v>
      </x:c>
    </x:row>
    <x:row r="15">
      <x:c r="A15" s="26" t="str">
        <x:v>Shelter/Sleep</x:v>
      </x:c>
      <x:c r="B15" s="26" t="n">
        <x:f>COUNTIF('Gear Checklist'!$B$5:$B$74,A15)</x:f>
        <x:v>6</x:v>
      </x:c>
      <x:c r="C15" s="26" t="n">
        <x:f>COUNTIFS('Gear Checklist'!$B$5:$B$74,A15,'Gear Checklist'!$A$5:$A$74,"☑")</x:f>
        <x:v>0</x:v>
      </x:c>
      <x:c r="D15" s="28" t="n">
        <x:f>SUMIFS('Gear Checklist'!$H$5:$H$74,'Gear Checklist'!$B$5:$B$74,A15)</x:f>
        <x:v>7.91875</x:v>
      </x:c>
      <x:c r="E15" s="28" t="n">
        <x:f>SUMIFS('Gear Checklist'!$N$5:$N$74,'Gear Checklist'!$B$5:$B$74,A15)</x:f>
        <x:v>7.91875</x:v>
      </x:c>
      <x:c r="F15" s="26" t="n">
        <x:f>COUNTIFS('Gear Checklist'!$B$5:$B$74,A15,'Gear Checklist'!$O$5:$O$74,"Must-have")</x:f>
        <x:v>3</x:v>
      </x:c>
      <x:c r="G15" s="26" t="n">
        <x:f>COUNTIFS('Gear Checklist'!$B$5:$B$74,A15,'Gear Checklist'!$Q$5:$Q$74,"Buy")</x:f>
        <x:v>1</x:v>
      </x:c>
      <x:c r="H15" s="26" t="n">
        <x:f>COUNTIFS('Gear Checklist'!$B$5:$B$74,A15,'Gear Checklist'!$Q$5:$Q$74,"Borrow")</x:f>
        <x:v>0</x:v>
      </x:c>
    </x:row>
    <x:row r="16">
      <x:c r="A16" s="26" t="str">
        <x:v>Water</x:v>
      </x:c>
      <x:c r="B16" s="26" t="n">
        <x:f>COUNTIF('Gear Checklist'!$B$5:$B$74,A16)</x:f>
        <x:v>5</x:v>
      </x:c>
      <x:c r="C16" s="26" t="n">
        <x:f>COUNTIFS('Gear Checklist'!$B$5:$B$74,A16,'Gear Checklist'!$A$5:$A$74,"☑")</x:f>
        <x:v>0</x:v>
      </x:c>
      <x:c r="D16" s="28" t="n">
        <x:f>SUMIFS('Gear Checklist'!$H$5:$H$74,'Gear Checklist'!$B$5:$B$74,A16)</x:f>
        <x:v>0.8999999999999999</x:v>
      </x:c>
      <x:c r="E16" s="28" t="n">
        <x:f>SUMIFS('Gear Checklist'!$N$5:$N$74,'Gear Checklist'!$B$5:$B$74,A16)</x:f>
        <x:v>0.7124999999999999</x:v>
      </x:c>
      <x:c r="F16" s="26" t="n">
        <x:f>COUNTIFS('Gear Checklist'!$B$5:$B$74,A16,'Gear Checklist'!$O$5:$O$74,"Must-have")</x:f>
        <x:v>4</x:v>
      </x:c>
      <x:c r="G16" s="26" t="n">
        <x:f>COUNTIFS('Gear Checklist'!$B$5:$B$74,A16,'Gear Checklist'!$Q$5:$Q$74,"Buy")</x:f>
        <x:v>0</x:v>
      </x:c>
      <x:c r="H16" s="26" t="n">
        <x:f>COUNTIFS('Gear Checklist'!$B$5:$B$74,A16,'Gear Checklist'!$Q$5:$Q$74,"Borrow")</x:f>
        <x:v>0</x:v>
      </x:c>
    </x:row>
    <x:row r="17">
      <x:c r="A17" s="26" t="str">
        <x:v>Cooking/Food</x:v>
      </x:c>
      <x:c r="B17" s="26" t="n">
        <x:f>COUNTIF('Gear Checklist'!$B$5:$B$74,A17)</x:f>
        <x:v>7</x:v>
      </x:c>
      <x:c r="C17" s="26" t="n">
        <x:f>COUNTIFS('Gear Checklist'!$B$5:$B$74,A17,'Gear Checklist'!$A$5:$A$74,"☑")</x:f>
        <x:v>0</x:v>
      </x:c>
      <x:c r="D17" s="28" t="n">
        <x:f>SUMIFS('Gear Checklist'!$H$5:$H$74,'Gear Checklist'!$B$5:$B$74,A17)</x:f>
        <x:v>13.45625</x:v>
      </x:c>
      <x:c r="E17" s="28" t="n">
        <x:f>SUMIFS('Gear Checklist'!$N$5:$N$74,'Gear Checklist'!$B$5:$B$74,A17)</x:f>
        <x:v>10.7125</x:v>
      </x:c>
      <x:c r="F17" s="26" t="n">
        <x:f>COUNTIFS('Gear Checklist'!$B$5:$B$74,A17,'Gear Checklist'!$O$5:$O$74,"Must-have")</x:f>
        <x:v>6</x:v>
      </x:c>
      <x:c r="G17" s="26" t="n">
        <x:f>COUNTIFS('Gear Checklist'!$B$5:$B$74,A17,'Gear Checklist'!$Q$5:$Q$74,"Buy")</x:f>
        <x:v>0</x:v>
      </x:c>
      <x:c r="H17" s="26" t="n">
        <x:f>COUNTIFS('Gear Checklist'!$B$5:$B$74,A17,'Gear Checklist'!$Q$5:$Q$74,"Borrow")</x:f>
        <x:v>0</x:v>
      </x:c>
    </x:row>
    <x:row r="18">
      <x:c r="A18" s="26" t="str">
        <x:v>Prospecting Supplies</x:v>
      </x:c>
      <x:c r="B18" s="26" t="n">
        <x:f>COUNTIF('Gear Checklist'!$B$5:$B$74,A18)</x:f>
        <x:v>10</x:v>
      </x:c>
      <x:c r="C18" s="26" t="n">
        <x:f>COUNTIFS('Gear Checklist'!$B$5:$B$74,A18,'Gear Checklist'!$A$5:$A$74,"☑")</x:f>
        <x:v>0</x:v>
      </x:c>
      <x:c r="D18" s="28" t="n">
        <x:f>SUMIFS('Gear Checklist'!$H$5:$H$74,'Gear Checklist'!$B$5:$B$74,A18)</x:f>
        <x:v>7.5625</x:v>
      </x:c>
      <x:c r="E18" s="28" t="n">
        <x:f>SUMIFS('Gear Checklist'!$N$5:$N$74,'Gear Checklist'!$B$5:$B$74,A18)</x:f>
        <x:v>0</x:v>
      </x:c>
      <x:c r="F18" s="26" t="n">
        <x:f>COUNTIFS('Gear Checklist'!$B$5:$B$74,A18,'Gear Checklist'!$O$5:$O$74,"Must-have")</x:f>
        <x:v>8</x:v>
      </x:c>
      <x:c r="G18" s="26" t="n">
        <x:f>COUNTIFS('Gear Checklist'!$B$5:$B$74,A18,'Gear Checklist'!$Q$5:$Q$74,"Buy")</x:f>
        <x:v>0</x:v>
      </x:c>
      <x:c r="H18" s="26" t="n">
        <x:f>COUNTIFS('Gear Checklist'!$B$5:$B$74,A18,'Gear Checklist'!$Q$5:$Q$74,"Borrow")</x:f>
        <x:v>0</x:v>
      </x:c>
    </x:row>
    <x:row r="19">
      <x:c r="A19" s="26" t="str">
        <x:v>Medical Supplies</x:v>
      </x:c>
      <x:c r="B19" s="26" t="n">
        <x:f>COUNTIF('Gear Checklist'!$B$5:$B$74,A19)</x:f>
        <x:v>5</x:v>
      </x:c>
      <x:c r="C19" s="26" t="n">
        <x:f>COUNTIFS('Gear Checklist'!$B$5:$B$74,A19,'Gear Checklist'!$A$5:$A$74,"☑")</x:f>
        <x:v>0</x:v>
      </x:c>
      <x:c r="D19" s="28" t="n">
        <x:f>SUMIFS('Gear Checklist'!$H$5:$H$74,'Gear Checklist'!$B$5:$B$74,A19)</x:f>
        <x:v>0.79375</x:v>
      </x:c>
      <x:c r="E19" s="28" t="n">
        <x:f>SUMIFS('Gear Checklist'!$N$5:$N$74,'Gear Checklist'!$B$5:$B$74,A19)</x:f>
        <x:v>0.459375</x:v>
      </x:c>
      <x:c r="F19" s="26" t="n">
        <x:f>COUNTIFS('Gear Checklist'!$B$5:$B$74,A19,'Gear Checklist'!$O$5:$O$74,"Must-have")</x:f>
        <x:v>5</x:v>
      </x:c>
      <x:c r="G19" s="26" t="n">
        <x:f>COUNTIFS('Gear Checklist'!$B$5:$B$74,A19,'Gear Checklist'!$Q$5:$Q$74,"Buy")</x:f>
        <x:v>0</x:v>
      </x:c>
      <x:c r="H19" s="26" t="n">
        <x:f>COUNTIFS('Gear Checklist'!$B$5:$B$74,A19,'Gear Checklist'!$Q$5:$Q$74,"Borrow")</x:f>
        <x:v>0</x:v>
      </x:c>
    </x:row>
    <x:row r="20">
      <x:c r="A20" s="26" t="str">
        <x:v>Fire Supplies</x:v>
      </x:c>
      <x:c r="B20" s="26" t="n">
        <x:f>COUNTIF('Gear Checklist'!$B$5:$B$74,A20)</x:f>
        <x:v>4</x:v>
      </x:c>
      <x:c r="C20" s="26" t="n">
        <x:f>COUNTIFS('Gear Checklist'!$B$5:$B$74,A20,'Gear Checklist'!$A$5:$A$74,"☑")</x:f>
        <x:v>0</x:v>
      </x:c>
      <x:c r="D20" s="28" t="n">
        <x:f>SUMIFS('Gear Checklist'!$H$5:$H$74,'Gear Checklist'!$B$5:$B$74,A20)</x:f>
        <x:v>0.3625</x:v>
      </x:c>
      <x:c r="E20" s="28" t="n">
        <x:f>SUMIFS('Gear Checklist'!$N$5:$N$74,'Gear Checklist'!$B$5:$B$74,A20)</x:f>
        <x:v>0.18125</x:v>
      </x:c>
      <x:c r="F20" s="26" t="n">
        <x:f>COUNTIFS('Gear Checklist'!$B$5:$B$74,A20,'Gear Checklist'!$O$5:$O$74,"Must-have")</x:f>
        <x:v>2</x:v>
      </x:c>
      <x:c r="G20" s="26" t="n">
        <x:f>COUNTIFS('Gear Checklist'!$B$5:$B$74,A20,'Gear Checklist'!$Q$5:$Q$74,"Buy")</x:f>
        <x:v>0</x:v>
      </x:c>
      <x:c r="H20" s="26" t="n">
        <x:f>COUNTIFS('Gear Checklist'!$B$5:$B$74,A20,'Gear Checklist'!$Q$5:$Q$74,"Borrow")</x:f>
        <x:v>0</x:v>
      </x:c>
    </x:row>
    <x:row r="21">
      <x:c r="A21" s="26" t="str">
        <x:v>Emergency Supplies</x:v>
      </x:c>
      <x:c r="B21" s="26" t="n">
        <x:f>COUNTIF('Gear Checklist'!$B$5:$B$74,A21)</x:f>
        <x:v>6</x:v>
      </x:c>
      <x:c r="C21" s="26" t="n">
        <x:f>COUNTIFS('Gear Checklist'!$B$5:$B$74,A21,'Gear Checklist'!$A$5:$A$74,"☑")</x:f>
        <x:v>0</x:v>
      </x:c>
      <x:c r="D21" s="28" t="n">
        <x:f>SUMIFS('Gear Checklist'!$H$5:$H$74,'Gear Checklist'!$B$5:$B$74,A21)</x:f>
        <x:v>0.8875</x:v>
      </x:c>
      <x:c r="E21" s="28" t="n">
        <x:f>SUMIFS('Gear Checklist'!$N$5:$N$74,'Gear Checklist'!$B$5:$B$74,A21)</x:f>
        <x:v>0.79375</x:v>
      </x:c>
      <x:c r="F21" s="26" t="n">
        <x:f>COUNTIFS('Gear Checklist'!$B$5:$B$74,A21,'Gear Checklist'!$O$5:$O$74,"Must-have")</x:f>
        <x:v>5</x:v>
      </x:c>
      <x:c r="G21" s="26" t="n">
        <x:f>COUNTIFS('Gear Checklist'!$B$5:$B$74,A21,'Gear Checklist'!$Q$5:$Q$74,"Buy")</x:f>
        <x:v>0</x:v>
      </x:c>
      <x:c r="H21" s="26" t="n">
        <x:f>COUNTIFS('Gear Checklist'!$B$5:$B$74,A21,'Gear Checklist'!$Q$5:$Q$74,"Borrow")</x:f>
        <x:v>0</x:v>
      </x:c>
    </x:row>
    <x:row r="22">
      <x:c r="A22" s="26" t="str">
        <x:v>Navigation/Lighting</x:v>
      </x:c>
      <x:c r="B22" s="26" t="n">
        <x:f>COUNTIF('Gear Checklist'!$B$5:$B$74,A22)</x:f>
        <x:v>5</x:v>
      </x:c>
      <x:c r="C22" s="26" t="n">
        <x:f>COUNTIFS('Gear Checklist'!$B$5:$B$74,A22,'Gear Checklist'!$A$5:$A$74,"☑")</x:f>
        <x:v>0</x:v>
      </x:c>
      <x:c r="D22" s="28" t="n">
        <x:f>SUMIFS('Gear Checklist'!$H$5:$H$74,'Gear Checklist'!$B$5:$B$74,A22)</x:f>
        <x:v>0.76875</x:v>
      </x:c>
      <x:c r="E22" s="28" t="n">
        <x:f>SUMIFS('Gear Checklist'!$N$5:$N$74,'Gear Checklist'!$B$5:$B$74,A22)</x:f>
        <x:v>0.675</x:v>
      </x:c>
      <x:c r="F22" s="26" t="n">
        <x:f>COUNTIFS('Gear Checklist'!$B$5:$B$74,A22,'Gear Checklist'!$O$5:$O$74,"Must-have")</x:f>
        <x:v>5</x:v>
      </x:c>
      <x:c r="G22" s="26" t="n">
        <x:f>COUNTIFS('Gear Checklist'!$B$5:$B$74,A22,'Gear Checklist'!$Q$5:$Q$74,"Buy")</x:f>
        <x:v>0</x:v>
      </x:c>
      <x:c r="H22" s="26" t="n">
        <x:f>COUNTIFS('Gear Checklist'!$B$5:$B$74,A22,'Gear Checklist'!$Q$5:$Q$74,"Borrow")</x:f>
        <x:v>0</x:v>
      </x:c>
    </x:row>
    <x:row r="23">
      <x:c r="A23" s="26" t="str">
        <x:v>Clothing</x:v>
      </x:c>
      <x:c r="B23" s="26" t="n">
        <x:f>COUNTIF('Gear Checklist'!$B$5:$B$74,A23)</x:f>
        <x:v>7</x:v>
      </x:c>
      <x:c r="C23" s="26" t="n">
        <x:f>COUNTIFS('Gear Checklist'!$B$5:$B$74,A23,'Gear Checklist'!$A$5:$A$74,"☑")</x:f>
        <x:v>0</x:v>
      </x:c>
      <x:c r="D23" s="28" t="n">
        <x:f>SUMIFS('Gear Checklist'!$H$5:$H$74,'Gear Checklist'!$B$5:$B$74,A23)</x:f>
        <x:v>4.8625</x:v>
      </x:c>
      <x:c r="E23" s="28" t="n">
        <x:f>SUMIFS('Gear Checklist'!$N$5:$N$74,'Gear Checklist'!$B$5:$B$74,A23)</x:f>
        <x:v>3.8625</x:v>
      </x:c>
      <x:c r="F23" s="26" t="n">
        <x:f>COUNTIFS('Gear Checklist'!$B$5:$B$74,A23,'Gear Checklist'!$O$5:$O$74,"Must-have")</x:f>
        <x:v>7</x:v>
      </x:c>
      <x:c r="G23" s="26" t="n">
        <x:f>COUNTIFS('Gear Checklist'!$B$5:$B$74,A23,'Gear Checklist'!$Q$5:$Q$74,"Buy")</x:f>
        <x:v>0</x:v>
      </x:c>
      <x:c r="H23" s="26" t="n">
        <x:f>COUNTIFS('Gear Checklist'!$B$5:$B$74,A23,'Gear Checklist'!$Q$5:$Q$74,"Borrow")</x:f>
        <x:v>0</x:v>
      </x:c>
    </x:row>
    <x:row r="24">
      <x:c r="A24" s="26" t="str">
        <x:v>Hygiene/Waste</x:v>
      </x:c>
      <x:c r="B24" s="26" t="n">
        <x:f>COUNTIF('Gear Checklist'!$B$5:$B$74,A24)</x:f>
        <x:v>7</x:v>
      </x:c>
      <x:c r="C24" s="26" t="n">
        <x:f>COUNTIFS('Gear Checklist'!$B$5:$B$74,A24,'Gear Checklist'!$A$5:$A$74,"☑")</x:f>
        <x:v>0</x:v>
      </x:c>
      <x:c r="D24" s="28" t="n">
        <x:f>SUMIFS('Gear Checklist'!$H$5:$H$74,'Gear Checklist'!$B$5:$B$74,A24)</x:f>
        <x:v>1.13125</x:v>
      </x:c>
      <x:c r="E24" s="28" t="n">
        <x:f>SUMIFS('Gear Checklist'!$N$5:$N$74,'Gear Checklist'!$B$5:$B$74,A24)</x:f>
        <x:v>0.990625</x:v>
      </x:c>
      <x:c r="F24" s="26" t="n">
        <x:f>COUNTIFS('Gear Checklist'!$B$5:$B$74,A24,'Gear Checklist'!$O$5:$O$74,"Must-have")</x:f>
        <x:v>4</x:v>
      </x:c>
      <x:c r="G24" s="26" t="n">
        <x:f>COUNTIFS('Gear Checklist'!$B$5:$B$74,A24,'Gear Checklist'!$Q$5:$Q$74,"Buy")</x:f>
        <x:v>0</x:v>
      </x:c>
      <x:c r="H24" s="26" t="n">
        <x:f>COUNTIFS('Gear Checklist'!$B$5:$B$74,A24,'Gear Checklist'!$Q$5:$Q$74,"Borrow")</x:f>
        <x:v>0</x:v>
      </x:c>
    </x:row>
    <x:row r="25">
      <x:c r="A25" s="26" t="str">
        <x:v>Shared Group Gear</x:v>
      </x:c>
      <x:c r="B25" s="26" t="n">
        <x:f>COUNTIF('Gear Checklist'!$B$5:$B$74,A25)</x:f>
        <x:v>0</x:v>
      </x:c>
      <x:c r="C25" s="26" t="n">
        <x:f>COUNTIFS('Gear Checklist'!$B$5:$B$74,A25,'Gear Checklist'!$A$5:$A$74,"☑")</x:f>
        <x:v>0</x:v>
      </x:c>
      <x:c r="D25" s="28" t="n">
        <x:f>SUMIFS('Gear Checklist'!$H$5:$H$74,'Gear Checklist'!$B$5:$B$74,A25)</x:f>
        <x:v>0</x:v>
      </x:c>
      <x:c r="E25" s="28" t="n">
        <x:f>SUMIFS('Gear Checklist'!$N$5:$N$74,'Gear Checklist'!$B$5:$B$74,A25)</x:f>
        <x:v>0</x:v>
      </x:c>
      <x:c r="F25" s="26" t="n">
        <x:f>COUNTIFS('Gear Checklist'!$B$5:$B$74,A25,'Gear Checklist'!$O$5:$O$74,"Must-have")</x:f>
        <x:v>0</x:v>
      </x:c>
      <x:c r="G25" s="26" t="n">
        <x:f>COUNTIFS('Gear Checklist'!$B$5:$B$74,A25,'Gear Checklist'!$Q$5:$Q$74,"Buy")</x:f>
        <x:v>0</x:v>
      </x:c>
      <x:c r="H25" s="26" t="n">
        <x:f>COUNTIFS('Gear Checklist'!$B$5:$B$74,A25,'Gear Checklist'!$Q$5:$Q$74,"Borrow")</x:f>
        <x:v>0</x:v>
      </x:c>
    </x:row>
    <x:row r="26">
      <x:c r="A26" s="26" t="str">
        <x:v>Vehicle Cache</x:v>
      </x:c>
      <x:c r="B26" s="26" t="n">
        <x:f>COUNTIF('Gear Checklist'!$B$5:$B$74,A26)</x:f>
        <x:v>4</x:v>
      </x:c>
      <x:c r="C26" s="26" t="n">
        <x:f>COUNTIFS('Gear Checklist'!$B$5:$B$74,A26,'Gear Checklist'!$A$5:$A$74,"☑")</x:f>
        <x:v>0</x:v>
      </x:c>
      <x:c r="D26" s="28" t="n">
        <x:f>SUMIFS('Gear Checklist'!$H$5:$H$74,'Gear Checklist'!$B$5:$B$74,A26)</x:f>
        <x:v>23.625</x:v>
      </x:c>
      <x:c r="E26" s="28" t="n">
        <x:f>SUMIFS('Gear Checklist'!$N$5:$N$74,'Gear Checklist'!$B$5:$B$74,A26)</x:f>
        <x:v>0</x:v>
      </x:c>
      <x:c r="F26" s="26" t="n">
        <x:f>COUNTIFS('Gear Checklist'!$B$5:$B$74,A26,'Gear Checklist'!$O$5:$O$74,"Must-have")</x:f>
        <x:v>2</x:v>
      </x:c>
      <x:c r="G26" s="26" t="n">
        <x:f>COUNTIFS('Gear Checklist'!$B$5:$B$74,A26,'Gear Checklist'!$Q$5:$Q$74,"Buy")</x:f>
        <x:v>0</x:v>
      </x:c>
      <x:c r="H26" s="26" t="n">
        <x:f>COUNTIFS('Gear Checklist'!$B$5:$B$74,A26,'Gear Checklist'!$Q$5:$Q$74,"Borrow")</x:f>
        <x:v>0</x:v>
      </x:c>
    </x:row>
  </x:sheetData>
  <x:mergeCells>
    <x:mergeCell ref="A1:H1"/>
    <x:mergeCell ref="A2:H2"/>
    <x:mergeCell ref="A12:H12"/>
    <x:mergeCell ref="J4:N4"/>
  </x:mergeCells>
  <x:conditionalFormatting sqref="E14:E26">
    <x:cfRule type="dataBar" priority="1">
      <x:dataBar>
        <x:cfvo type="min"/>
        <x:cfvo type="max"/>
        <x:color rgb="14532D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43f2546adda48ce"/>
  <x:tableParts count="1">
    <x:tablePart xmlns:r="http://schemas.openxmlformats.org/officeDocument/2006/relationships" r:id="Rae210c7b039d40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14532D"/>
            </x14:dataBar>
          </x14:cfRule>
          <xm:sqref>E14:E26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36" hidden="0" customWidth="1"/>
    <x:col min="5" max="5" width="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3" hidden="0" customWidth="1"/>
    <x:col min="11" max="11" width="10" hidden="0" customWidth="1"/>
    <x:col min="12" max="12" width="10" hidden="0" customWidth="1"/>
    <x:col min="13" max="13" width="14" hidden="0" customWidth="1"/>
    <x:col min="14" max="14" width="14" hidden="0" customWidth="1"/>
    <x:col min="15" max="15" width="13" hidden="0" customWidth="1"/>
    <x:col min="16" max="16" width="16" hidden="0" customWidth="1"/>
    <x:col min="17" max="17" width="12" hidden="0" customWidth="1"/>
    <x:col min="18" max="18" width="42" hidden="0" customWidth="1"/>
  </x:cols>
  <x:sheetData>
    <x:row r="1">
      <x:c r="A1" s="10" t="str">
        <x:v>Primitive Camping + Prospecting Gear Checklist</x:v>
      </x:c>
    </x:row>
    <x:row r="2">
      <x:c r="A2" s="16" t="str">
        <x:v>Edit Qty and Unit Wt (oz). Use Packed? to check items off. Shared items divide My Carry Wt by Split Count. Set Include in Carry? = No for vehicle cache/creek-only gear.</x:v>
      </x:c>
    </x:row>
    <x:row r="4">
      <x:c r="A4" s="22" t="str">
        <x:v>Packed?</x:v>
      </x:c>
      <x:c r="B4" s="22" t="str">
        <x:v>Category</x:v>
      </x:c>
      <x:c r="C4" s="22" t="str">
        <x:v>Item</x:v>
      </x:c>
      <x:c r="D4" s="22" t="str">
        <x:v>Suggested Brand / Model</x:v>
      </x:c>
      <x:c r="E4" s="22" t="str">
        <x:v>Qty</x:v>
      </x:c>
      <x:c r="F4" s="22" t="str">
        <x:v>Unit Wt (oz)</x:v>
      </x:c>
      <x:c r="G4" s="22" t="str">
        <x:v>Total Wt (oz)</x:v>
      </x:c>
      <x:c r="H4" s="22" t="str">
        <x:v>Total Wt (lb)</x:v>
      </x:c>
      <x:c r="I4" s="22" t="str">
        <x:v>Include in Carry?</x:v>
      </x:c>
      <x:c r="J4" s="22" t="str">
        <x:v>Assigned To</x:v>
      </x:c>
      <x:c r="K4" s="22" t="str">
        <x:v>Shared?</x:v>
      </x:c>
      <x:c r="L4" s="22" t="str">
        <x:v>Split Count</x:v>
      </x:c>
      <x:c r="M4" s="22" t="str">
        <x:v>My Carry Wt (oz)</x:v>
      </x:c>
      <x:c r="N4" s="22" t="str">
        <x:v>My Carry Wt (lb)</x:v>
      </x:c>
      <x:c r="O4" s="22" t="str">
        <x:v>Priority</x:v>
      </x:c>
      <x:c r="P4" s="22" t="str">
        <x:v>Packed Location</x:v>
      </x:c>
      <x:c r="Q4" s="22" t="str">
        <x:v>Status</x:v>
      </x:c>
      <x:c r="R4" s="22" t="str">
        <x:v>Notes</x:v>
      </x:c>
    </x:row>
    <x:row r="5">
      <x:c r="A5" s="26" t="str">
        <x:v>☐</x:v>
      </x:c>
      <x:c r="B5" s="26" t="str">
        <x:v>Shelter/Sleep</x:v>
      </x:c>
      <x:c r="C5" s="26" t="str">
        <x:v>2-person tent</x:v>
      </x:c>
      <x:c r="D5" s="26" t="str">
        <x:v>MSR Hubba Hubba 2P used - confirm exact version</x:v>
      </x:c>
      <x:c r="E5" s="28" t="n">
        <x:v>1</x:v>
      </x:c>
      <x:c r="F5" s="28" t="n">
        <x:v>58</x:v>
      </x:c>
      <x:c r="G5" s="28" t="n">
        <x:f>E5*F5</x:f>
        <x:v>58</x:v>
      </x:c>
      <x:c r="H5" s="28" t="n">
        <x:f>G5/16</x:f>
        <x:v>3.625</x:v>
      </x:c>
      <x:c r="I5" s="26" t="str">
        <x:v>Yes</x:v>
      </x:c>
      <x:c r="J5" s="26" t="str">
        <x:v>Me</x:v>
      </x:c>
      <x:c r="K5" s="26" t="str">
        <x:v>No</x:v>
      </x:c>
      <x:c r="L5" s="28" t="n">
        <x:v>1</x:v>
      </x:c>
      <x:c r="M5" s="28" t="n">
        <x:f>IF(I5="No",0,IF(K5="Yes",G5/MAX(1,L5),IF(J5="Me",G5,0)))</x:f>
        <x:v>58</x:v>
      </x:c>
      <x:c r="N5" s="28" t="n">
        <x:f>M5/16</x:f>
        <x:v>3.625</x:v>
      </x:c>
      <x:c r="O5" s="26" t="str">
        <x:v>Must-have</x:v>
      </x:c>
      <x:c r="P5" s="26" t="str">
        <x:v>Backpack</x:v>
      </x:c>
      <x:c r="Q5" s="26" t="str">
        <x:v>Buy</x:v>
      </x:c>
      <x:c r="R5" s="26" t="str">
        <x:v>Estimate is between lighter LT and older NX. Replace with actual packed weight.</x:v>
      </x:c>
    </x:row>
    <x:row r="6">
      <x:c r="A6" s="26" t="str">
        <x:v>☐</x:v>
      </x:c>
      <x:c r="B6" s="26" t="str">
        <x:v>Shelter/Sleep</x:v>
      </x:c>
      <x:c r="C6" s="26" t="str">
        <x:v>Tent footprint / groundsheet</x:v>
      </x:c>
      <x:c r="D6" s="26" t="str">
        <x:v>Tyvek sheet or MSR footprint</x:v>
      </x:c>
      <x:c r="E6" s="28" t="n">
        <x:v>1</x:v>
      </x:c>
      <x:c r="F6" s="28" t="n">
        <x:v>5</x:v>
      </x:c>
      <x:c r="G6" s="28" t="n">
        <x:f>E6*F6</x:f>
        <x:v>5</x:v>
      </x:c>
      <x:c r="H6" s="28" t="n">
        <x:f>G6/16</x:f>
        <x:v>0.3125</x:v>
      </x:c>
      <x:c r="I6" s="26" t="str">
        <x:v>Yes</x:v>
      </x:c>
      <x:c r="J6" s="26" t="str">
        <x:v>Me</x:v>
      </x:c>
      <x:c r="K6" s="26" t="str">
        <x:v>No</x:v>
      </x:c>
      <x:c r="L6" s="28" t="n">
        <x:v>1</x:v>
      </x:c>
      <x:c r="M6" s="28" t="n">
        <x:f>IF(I6="No",0,IF(K6="Yes",G6/MAX(1,L6),IF(J6="Me",G6,0)))</x:f>
        <x:v>5</x:v>
      </x:c>
      <x:c r="N6" s="28" t="n">
        <x:f>M6/16</x:f>
        <x:v>0.3125</x:v>
      </x:c>
      <x:c r="O6" s="26" t="str">
        <x:v>Nice-to-have</x:v>
      </x:c>
      <x:c r="P6" s="26" t="str">
        <x:v>Backpack</x:v>
      </x:c>
      <x:c r="Q6" s="26" t="str">
        <x:v>Need</x:v>
      </x:c>
      <x:c r="R6" s="26" t="str">
        <x:v>Protects floor on rough primitive sites.</x:v>
      </x:c>
    </x:row>
    <x:row r="7">
      <x:c r="A7" s="26" t="str">
        <x:v>☐</x:v>
      </x:c>
      <x:c r="B7" s="26" t="str">
        <x:v>Shelter/Sleep</x:v>
      </x:c>
      <x:c r="C7" s="26" t="str">
        <x:v>Sleeping bag</x:v>
      </x:c>
      <x:c r="D7" s="26" t="str">
        <x:v>Kelty Cosmic Down 20 or similar 20-30F bag</x:v>
      </x:c>
      <x:c r="E7" s="28" t="n">
        <x:v>1</x:v>
      </x:c>
      <x:c r="F7" s="28" t="n">
        <x:v>39</x:v>
      </x:c>
      <x:c r="G7" s="28" t="n">
        <x:f>E7*F7</x:f>
        <x:v>39</x:v>
      </x:c>
      <x:c r="H7" s="28" t="n">
        <x:f>G7/16</x:f>
        <x:v>2.4375</x:v>
      </x:c>
      <x:c r="I7" s="26" t="str">
        <x:v>Yes</x:v>
      </x:c>
      <x:c r="J7" s="26" t="str">
        <x:v>Me</x:v>
      </x:c>
      <x:c r="K7" s="26" t="str">
        <x:v>No</x:v>
      </x:c>
      <x:c r="L7" s="28" t="n">
        <x:v>1</x:v>
      </x:c>
      <x:c r="M7" s="28" t="n">
        <x:f>IF(I7="No",0,IF(K7="Yes",G7/MAX(1,L7),IF(J7="Me",G7,0)))</x:f>
        <x:v>39</x:v>
      </x:c>
      <x:c r="N7" s="28" t="n">
        <x:f>M7/16</x:f>
        <x:v>2.4375</x:v>
      </x:c>
      <x:c r="O7" s="26" t="str">
        <x:v>Must-have</x:v>
      </x:c>
      <x:c r="P7" s="26" t="str">
        <x:v>Backpack</x:v>
      </x:c>
      <x:c r="Q7" s="26" t="str">
        <x:v>Need</x:v>
      </x:c>
      <x:c r="R7" s="26" t="str">
        <x:v>Use actual bag weight after purchase.</x:v>
      </x:c>
    </x:row>
    <x:row r="8">
      <x:c r="A8" s="26" t="str">
        <x:v>☐</x:v>
      </x:c>
      <x:c r="B8" s="26" t="str">
        <x:v>Shelter/Sleep</x:v>
      </x:c>
      <x:c r="C8" s="26" t="str">
        <x:v>Sleeping pad</x:v>
      </x:c>
      <x:c r="D8" s="26" t="str">
        <x:v>NEMO Tensor All-Season or Therm-a-Rest XLite</x:v>
      </x:c>
      <x:c r="E8" s="28" t="n">
        <x:v>1</x:v>
      </x:c>
      <x:c r="F8" s="28" t="n">
        <x:v>18</x:v>
      </x:c>
      <x:c r="G8" s="28" t="n">
        <x:f>E8*F8</x:f>
        <x:v>18</x:v>
      </x:c>
      <x:c r="H8" s="28" t="n">
        <x:f>G8/16</x:f>
        <x:v>1.125</x:v>
      </x:c>
      <x:c r="I8" s="26" t="str">
        <x:v>Yes</x:v>
      </x:c>
      <x:c r="J8" s="26" t="str">
        <x:v>Me</x:v>
      </x:c>
      <x:c r="K8" s="26" t="str">
        <x:v>No</x:v>
      </x:c>
      <x:c r="L8" s="28" t="n">
        <x:v>1</x:v>
      </x:c>
      <x:c r="M8" s="28" t="n">
        <x:f>IF(I8="No",0,IF(K8="Yes",G8/MAX(1,L8),IF(J8="Me",G8,0)))</x:f>
        <x:v>18</x:v>
      </x:c>
      <x:c r="N8" s="28" t="n">
        <x:f>M8/16</x:f>
        <x:v>1.125</x:v>
      </x:c>
      <x:c r="O8" s="26" t="str">
        <x:v>Must-have</x:v>
      </x:c>
      <x:c r="P8" s="26" t="str">
        <x:v>Backpack</x:v>
      </x:c>
      <x:c r="Q8" s="26" t="str">
        <x:v>Need</x:v>
      </x:c>
      <x:c r="R8" s="26" t="str">
        <x:v>Insulated pad recommended for October nights.</x:v>
      </x:c>
    </x:row>
    <x:row r="9">
      <x:c r="A9" s="26" t="str">
        <x:v>☐</x:v>
      </x:c>
      <x:c r="B9" s="26" t="str">
        <x:v>Shelter/Sleep</x:v>
      </x:c>
      <x:c r="C9" s="26" t="str">
        <x:v>Pillow</x:v>
      </x:c>
      <x:c r="D9" s="26" t="str">
        <x:v>Sea to Summit Aeros or stuff-sack pillow</x:v>
      </x:c>
      <x:c r="E9" s="28" t="n">
        <x:v>1</x:v>
      </x:c>
      <x:c r="F9" s="28" t="n">
        <x:v>3.7</x:v>
      </x:c>
      <x:c r="G9" s="28" t="n">
        <x:f>E9*F9</x:f>
        <x:v>3.7</x:v>
      </x:c>
      <x:c r="H9" s="28" t="n">
        <x:f>G9/16</x:f>
        <x:v>0.23125</x:v>
      </x:c>
      <x:c r="I9" s="26" t="str">
        <x:v>Yes</x:v>
      </x:c>
      <x:c r="J9" s="26" t="str">
        <x:v>Me</x:v>
      </x:c>
      <x:c r="K9" s="26" t="str">
        <x:v>No</x:v>
      </x:c>
      <x:c r="L9" s="28" t="n">
        <x:v>1</x:v>
      </x:c>
      <x:c r="M9" s="28" t="n">
        <x:f>IF(I9="No",0,IF(K9="Yes",G9/MAX(1,L9),IF(J9="Me",G9,0)))</x:f>
        <x:v>3.7</x:v>
      </x:c>
      <x:c r="N9" s="28" t="n">
        <x:f>M9/16</x:f>
        <x:v>0.23125</x:v>
      </x:c>
      <x:c r="O9" s="26" t="str">
        <x:v>Nice-to-have</x:v>
      </x:c>
      <x:c r="P9" s="26" t="str">
        <x:v>Backpack</x:v>
      </x:c>
      <x:c r="Q9" s="26" t="str">
        <x:v>Need</x:v>
      </x:c>
      <x:c r="R9" s="26" t="str">
        <x:v>Small comfort item for multi-night trip.</x:v>
      </x:c>
    </x:row>
    <x:row r="10">
      <x:c r="A10" s="26" t="str">
        <x:v>☐</x:v>
      </x:c>
      <x:c r="B10" s="26" t="str">
        <x:v>Shelter/Sleep</x:v>
      </x:c>
      <x:c r="C10" s="26" t="str">
        <x:v>Dry compression/stuff sack</x:v>
      </x:c>
      <x:c r="D10" s="26" t="str">
        <x:v>Sea to Summit / REI dry sack</x:v>
      </x:c>
      <x:c r="E10" s="28" t="n">
        <x:v>1</x:v>
      </x:c>
      <x:c r="F10" s="28" t="n">
        <x:v>3</x:v>
      </x:c>
      <x:c r="G10" s="28" t="n">
        <x:f>E10*F10</x:f>
        <x:v>3</x:v>
      </x:c>
      <x:c r="H10" s="28" t="n">
        <x:f>G10/16</x:f>
        <x:v>0.1875</x:v>
      </x:c>
      <x:c r="I10" s="26" t="str">
        <x:v>Yes</x:v>
      </x:c>
      <x:c r="J10" s="26" t="str">
        <x:v>Me</x:v>
      </x:c>
      <x:c r="K10" s="26" t="str">
        <x:v>No</x:v>
      </x:c>
      <x:c r="L10" s="28" t="n">
        <x:v>1</x:v>
      </x:c>
      <x:c r="M10" s="28" t="n">
        <x:f>IF(I10="No",0,IF(K10="Yes",G10/MAX(1,L10),IF(J10="Me",G10,0)))</x:f>
        <x:v>3</x:v>
      </x:c>
      <x:c r="N10" s="28" t="n">
        <x:f>M10/16</x:f>
        <x:v>0.1875</x:v>
      </x:c>
      <x:c r="O10" s="26" t="str">
        <x:v>Nice-to-have</x:v>
      </x:c>
      <x:c r="P10" s="26" t="str">
        <x:v>Backpack</x:v>
      </x:c>
      <x:c r="Q10" s="26" t="str">
        <x:v>Need</x:v>
      </x:c>
      <x:c r="R10" s="26" t="str">
        <x:v>Keeps sleeping bag dry.</x:v>
      </x:c>
    </x:row>
    <x:row r="11">
      <x:c r="A11" s="26" t="str">
        <x:v>☐</x:v>
      </x:c>
      <x:c r="B11" s="26" t="str">
        <x:v>Personal Camping Supplies</x:v>
      </x:c>
      <x:c r="C11" s="26" t="str">
        <x:v>Backpack</x:v>
      </x:c>
      <x:c r="D11" s="26" t="str">
        <x:v>Osprey Exos 58 / REI Flash 55</x:v>
      </x:c>
      <x:c r="E11" s="28" t="n">
        <x:v>1</x:v>
      </x:c>
      <x:c r="F11" s="28" t="n">
        <x:v>45</x:v>
      </x:c>
      <x:c r="G11" s="28" t="n">
        <x:f>E11*F11</x:f>
        <x:v>45</x:v>
      </x:c>
      <x:c r="H11" s="28" t="n">
        <x:f>G11/16</x:f>
        <x:v>2.8125</x:v>
      </x:c>
      <x:c r="I11" s="26" t="str">
        <x:v>Yes</x:v>
      </x:c>
      <x:c r="J11" s="26" t="str">
        <x:v>Me</x:v>
      </x:c>
      <x:c r="K11" s="26" t="str">
        <x:v>No</x:v>
      </x:c>
      <x:c r="L11" s="28" t="n">
        <x:v>1</x:v>
      </x:c>
      <x:c r="M11" s="28" t="n">
        <x:f>IF(I11="No",0,IF(K11="Yes",G11/MAX(1,L11),IF(J11="Me",G11,0)))</x:f>
        <x:v>45</x:v>
      </x:c>
      <x:c r="N11" s="28" t="n">
        <x:f>M11/16</x:f>
        <x:v>2.8125</x:v>
      </x:c>
      <x:c r="O11" s="26" t="str">
        <x:v>Must-have</x:v>
      </x:c>
      <x:c r="P11" s="26" t="str">
        <x:v>Backpack</x:v>
      </x:c>
      <x:c r="Q11" s="26" t="str">
        <x:v>Need</x:v>
      </x:c>
      <x:c r="R11" s="26" t="str">
        <x:v>Target pack capacity around 55-60L.</x:v>
      </x:c>
    </x:row>
    <x:row r="12">
      <x:c r="A12" s="26" t="str">
        <x:v>☐</x:v>
      </x:c>
      <x:c r="B12" s="26" t="str">
        <x:v>Personal Camping Supplies</x:v>
      </x:c>
      <x:c r="C12" s="26" t="str">
        <x:v>Tarp / rain shelter</x:v>
      </x:c>
      <x:c r="D12" s="26" t="str">
        <x:v>Sea to Summit Minimalist tarp or 8x10 silpoly tarp</x:v>
      </x:c>
      <x:c r="E12" s="28" t="n">
        <x:v>1</x:v>
      </x:c>
      <x:c r="F12" s="28" t="n">
        <x:v>14.2</x:v>
      </x:c>
      <x:c r="G12" s="28" t="n">
        <x:f>E12*F12</x:f>
        <x:v>14.2</x:v>
      </x:c>
      <x:c r="H12" s="28" t="n">
        <x:f>G12/16</x:f>
        <x:v>0.8875</x:v>
      </x:c>
      <x:c r="I12" s="26" t="str">
        <x:v>Yes</x:v>
      </x:c>
      <x:c r="J12" s="26" t="str">
        <x:v>Shared</x:v>
      </x:c>
      <x:c r="K12" s="26" t="str">
        <x:v>Yes</x:v>
      </x:c>
      <x:c r="L12" s="28" t="n">
        <x:v>2</x:v>
      </x:c>
      <x:c r="M12" s="28" t="n">
        <x:f>IF(I12="No",0,IF(K12="Yes",G12/MAX(1,L12),IF(J12="Me",G12,0)))</x:f>
        <x:v>7.1</x:v>
      </x:c>
      <x:c r="N12" s="28" t="n">
        <x:f>M12/16</x:f>
        <x:v>0.44375</x:v>
      </x:c>
      <x:c r="O12" s="26" t="str">
        <x:v>Nice-to-have</x:v>
      </x:c>
      <x:c r="P12" s="26" t="str">
        <x:v>Shared tote</x:v>
      </x:c>
      <x:c r="Q12" s="26" t="str">
        <x:v>Need</x:v>
      </x:c>
      <x:c r="R12" s="26" t="str">
        <x:v>Can be split among group; very useful for wet camp/cooking area.</x:v>
      </x:c>
    </x:row>
    <x:row r="13">
      <x:c r="A13" s="26" t="str">
        <x:v>☐</x:v>
      </x:c>
      <x:c r="B13" s="26" t="str">
        <x:v>Personal Camping Supplies</x:v>
      </x:c>
      <x:c r="C13" s="26" t="str">
        <x:v>Paracord / guyline</x:v>
      </x:c>
      <x:c r="D13" s="26" t="str">
        <x:v>25-50 ft paracord or reflective guyline</x:v>
      </x:c>
      <x:c r="E13" s="28" t="n">
        <x:v>1</x:v>
      </x:c>
      <x:c r="F13" s="28" t="n">
        <x:v>3</x:v>
      </x:c>
      <x:c r="G13" s="28" t="n">
        <x:f>E13*F13</x:f>
        <x:v>3</x:v>
      </x:c>
      <x:c r="H13" s="28" t="n">
        <x:f>G13/16</x:f>
        <x:v>0.1875</x:v>
      </x:c>
      <x:c r="I13" s="26" t="str">
        <x:v>Yes</x:v>
      </x:c>
      <x:c r="J13" s="26" t="str">
        <x:v>Shared</x:v>
      </x:c>
      <x:c r="K13" s="26" t="str">
        <x:v>Yes</x:v>
      </x:c>
      <x:c r="L13" s="28" t="n">
        <x:v>2</x:v>
      </x:c>
      <x:c r="M13" s="28" t="n">
        <x:f>IF(I13="No",0,IF(K13="Yes",G13/MAX(1,L13),IF(J13="Me",G13,0)))</x:f>
        <x:v>1.5</x:v>
      </x:c>
      <x:c r="N13" s="28" t="n">
        <x:f>M13/16</x:f>
        <x:v>0.09375</x:v>
      </x:c>
      <x:c r="O13" s="26" t="str">
        <x:v>Must-have</x:v>
      </x:c>
      <x:c r="P13" s="26" t="str">
        <x:v>Shared tote</x:v>
      </x:c>
      <x:c r="Q13" s="26" t="str">
        <x:v>Need</x:v>
      </x:c>
      <x:c r="R13" s="26" t="str">
        <x:v>For tarp, gear line, and repairs.</x:v>
      </x:c>
    </x:row>
    <x:row r="14">
      <x:c r="A14" s="26" t="str">
        <x:v>☐</x:v>
      </x:c>
      <x:c r="B14" s="26" t="str">
        <x:v>Personal Camping Supplies</x:v>
      </x:c>
      <x:c r="C14" s="26" t="str">
        <x:v>Camp chair or stool</x:v>
      </x:c>
      <x:c r="D14" s="26" t="str">
        <x:v>Helinox-style chair or foam sit pad</x:v>
      </x:c>
      <x:c r="E14" s="28" t="n">
        <x:v>1</x:v>
      </x:c>
      <x:c r="F14" s="28" t="n">
        <x:v>18</x:v>
      </x:c>
      <x:c r="G14" s="28" t="n">
        <x:f>E14*F14</x:f>
        <x:v>18</x:v>
      </x:c>
      <x:c r="H14" s="28" t="n">
        <x:f>G14/16</x:f>
        <x:v>1.125</x:v>
      </x:c>
      <x:c r="I14" s="26" t="str">
        <x:v>No</x:v>
      </x:c>
      <x:c r="J14" s="26" t="str">
        <x:v>Me</x:v>
      </x:c>
      <x:c r="K14" s="26" t="str">
        <x:v>No</x:v>
      </x:c>
      <x:c r="L14" s="28" t="n">
        <x:v>1</x:v>
      </x:c>
      <x:c r="M14" s="28" t="n">
        <x:f>IF(I14="No",0,IF(K14="Yes",G14/MAX(1,L14),IF(J14="Me",G14,0)))</x:f>
        <x:v>0</x:v>
      </x:c>
      <x:c r="N14" s="28" t="n">
        <x:f>M14/16</x:f>
        <x:v>0</x:v>
      </x:c>
      <x:c r="O14" s="26" t="str">
        <x:v>Optional</x:v>
      </x:c>
      <x:c r="P14" s="26" t="str">
        <x:v>Vehicle</x:v>
      </x:c>
      <x:c r="Q14" s="26" t="str">
        <x:v>Need</x:v>
      </x:c>
      <x:c r="R14" s="26" t="str">
        <x:v>Optional luxury; vehicle only if weight matters.</x:v>
      </x:c>
    </x:row>
    <x:row r="15">
      <x:c r="A15" s="26" t="str">
        <x:v>☐</x:v>
      </x:c>
      <x:c r="B15" s="26" t="str">
        <x:v>Water</x:v>
      </x:c>
      <x:c r="C15" s="26" t="str">
        <x:v>Water filter</x:v>
      </x:c>
      <x:c r="D15" s="26" t="str">
        <x:v>Sawyer Squeeze</x:v>
      </x:c>
      <x:c r="E15" s="28" t="n">
        <x:v>1</x:v>
      </x:c>
      <x:c r="F15" s="28" t="n">
        <x:v>3</x:v>
      </x:c>
      <x:c r="G15" s="28" t="n">
        <x:f>E15*F15</x:f>
        <x:v>3</x:v>
      </x:c>
      <x:c r="H15" s="28" t="n">
        <x:f>G15/16</x:f>
        <x:v>0.1875</x:v>
      </x:c>
      <x:c r="I15" s="26" t="str">
        <x:v>Yes</x:v>
      </x:c>
      <x:c r="J15" s="26" t="str">
        <x:v>Me</x:v>
      </x:c>
      <x:c r="K15" s="26" t="str">
        <x:v>No</x:v>
      </x:c>
      <x:c r="L15" s="28" t="n">
        <x:v>1</x:v>
      </x:c>
      <x:c r="M15" s="28" t="n">
        <x:f>IF(I15="No",0,IF(K15="Yes",G15/MAX(1,L15),IF(J15="Me",G15,0)))</x:f>
        <x:v>3</x:v>
      </x:c>
      <x:c r="N15" s="28" t="n">
        <x:f>M15/16</x:f>
        <x:v>0.1875</x:v>
      </x:c>
      <x:c r="O15" s="26" t="str">
        <x:v>Must-have</x:v>
      </x:c>
      <x:c r="P15" s="26" t="str">
        <x:v>Backpack</x:v>
      </x:c>
      <x:c r="Q15" s="26" t="str">
        <x:v>Need</x:v>
      </x:c>
      <x:c r="R15" s="26" t="str">
        <x:v>Primary water treatment.</x:v>
      </x:c>
    </x:row>
    <x:row r="16">
      <x:c r="A16" s="26" t="str">
        <x:v>☐</x:v>
      </x:c>
      <x:c r="B16" s="26" t="str">
        <x:v>Water</x:v>
      </x:c>
      <x:c r="C16" s="26" t="str">
        <x:v>Dirty water bag</x:v>
      </x:c>
      <x:c r="D16" s="26" t="str">
        <x:v>CNOC Vecto 2L</x:v>
      </x:c>
      <x:c r="E16" s="28" t="n">
        <x:v>1</x:v>
      </x:c>
      <x:c r="F16" s="28" t="n">
        <x:v>2.6</x:v>
      </x:c>
      <x:c r="G16" s="28" t="n">
        <x:f>E16*F16</x:f>
        <x:v>2.6</x:v>
      </x:c>
      <x:c r="H16" s="28" t="n">
        <x:f>G16/16</x:f>
        <x:v>0.1625</x:v>
      </x:c>
      <x:c r="I16" s="26" t="str">
        <x:v>Yes</x:v>
      </x:c>
      <x:c r="J16" s="26" t="str">
        <x:v>Me</x:v>
      </x:c>
      <x:c r="K16" s="26" t="str">
        <x:v>No</x:v>
      </x:c>
      <x:c r="L16" s="28" t="n">
        <x:v>1</x:v>
      </x:c>
      <x:c r="M16" s="28" t="n">
        <x:f>IF(I16="No",0,IF(K16="Yes",G16/MAX(1,L16),IF(J16="Me",G16,0)))</x:f>
        <x:v>2.6</x:v>
      </x:c>
      <x:c r="N16" s="28" t="n">
        <x:f>M16/16</x:f>
        <x:v>0.1625</x:v>
      </x:c>
      <x:c r="O16" s="26" t="str">
        <x:v>Must-have</x:v>
      </x:c>
      <x:c r="P16" s="26" t="str">
        <x:v>Backpack</x:v>
      </x:c>
      <x:c r="Q16" s="26" t="str">
        <x:v>Need</x:v>
      </x:c>
      <x:c r="R16" s="26" t="str">
        <x:v>Easier to fill in shallow creeks.</x:v>
      </x:c>
    </x:row>
    <x:row r="17">
      <x:c r="A17" s="26" t="str">
        <x:v>☐</x:v>
      </x:c>
      <x:c r="B17" s="26" t="str">
        <x:v>Water</x:v>
      </x:c>
      <x:c r="C17" s="26" t="str">
        <x:v>Clean water bottles</x:v>
      </x:c>
      <x:c r="D17" s="26" t="str">
        <x:v>Smartwater bottles or similar</x:v>
      </x:c>
      <x:c r="E17" s="28" t="n">
        <x:v>2</x:v>
      </x:c>
      <x:c r="F17" s="28" t="n">
        <x:v>1.4</x:v>
      </x:c>
      <x:c r="G17" s="28" t="n">
        <x:f>E17*F17</x:f>
        <x:v>2.8</x:v>
      </x:c>
      <x:c r="H17" s="28" t="n">
        <x:f>G17/16</x:f>
        <x:v>0.175</x:v>
      </x:c>
      <x:c r="I17" s="26" t="str">
        <x:v>Yes</x:v>
      </x:c>
      <x:c r="J17" s="26" t="str">
        <x:v>Me</x:v>
      </x:c>
      <x:c r="K17" s="26" t="str">
        <x:v>No</x:v>
      </x:c>
      <x:c r="L17" s="28" t="n">
        <x:v>1</x:v>
      </x:c>
      <x:c r="M17" s="28" t="n">
        <x:f>IF(I17="No",0,IF(K17="Yes",G17/MAX(1,L17),IF(J17="Me",G17,0)))</x:f>
        <x:v>2.8</x:v>
      </x:c>
      <x:c r="N17" s="28" t="n">
        <x:f>M17/16</x:f>
        <x:v>0.175</x:v>
      </x:c>
      <x:c r="O17" s="26" t="str">
        <x:v>Must-have</x:v>
      </x:c>
      <x:c r="P17" s="26" t="str">
        <x:v>Backpack</x:v>
      </x:c>
      <x:c r="Q17" s="26" t="str">
        <x:v>Need</x:v>
      </x:c>
      <x:c r="R17" s="26" t="str">
        <x:v>Weight is empty bottle weight.</x:v>
      </x:c>
    </x:row>
    <x:row r="18">
      <x:c r="A18" s="26" t="str">
        <x:v>☐</x:v>
      </x:c>
      <x:c r="B18" s="26" t="str">
        <x:v>Water</x:v>
      </x:c>
      <x:c r="C18" s="26" t="str">
        <x:v>Camp water jug</x:v>
      </x:c>
      <x:c r="D18" s="26" t="str">
        <x:v>3L-5L collapsible jug</x:v>
      </x:c>
      <x:c r="E18" s="28" t="n">
        <x:v>1</x:v>
      </x:c>
      <x:c r="F18" s="28" t="n">
        <x:v>5</x:v>
      </x:c>
      <x:c r="G18" s="28" t="n">
        <x:f>E18*F18</x:f>
        <x:v>5</x:v>
      </x:c>
      <x:c r="H18" s="28" t="n">
        <x:f>G18/16</x:f>
        <x:v>0.3125</x:v>
      </x:c>
      <x:c r="I18" s="26" t="str">
        <x:v>Yes</x:v>
      </x:c>
      <x:c r="J18" s="26" t="str">
        <x:v>Shared</x:v>
      </x:c>
      <x:c r="K18" s="26" t="str">
        <x:v>Yes</x:v>
      </x:c>
      <x:c r="L18" s="28" t="n">
        <x:v>2</x:v>
      </x:c>
      <x:c r="M18" s="28" t="n">
        <x:f>IF(I18="No",0,IF(K18="Yes",G18/MAX(1,L18),IF(J18="Me",G18,0)))</x:f>
        <x:v>2.5</x:v>
      </x:c>
      <x:c r="N18" s="28" t="n">
        <x:f>M18/16</x:f>
        <x:v>0.15625</x:v>
      </x:c>
      <x:c r="O18" s="26" t="str">
        <x:v>Nice-to-have</x:v>
      </x:c>
      <x:c r="P18" s="26" t="str">
        <x:v>Shared tote</x:v>
      </x:c>
      <x:c r="Q18" s="26" t="str">
        <x:v>Need</x:v>
      </x:c>
      <x:c r="R18" s="26" t="str">
        <x:v>Shared at camp.</x:v>
      </x:c>
    </x:row>
    <x:row r="19">
      <x:c r="A19" s="26" t="str">
        <x:v>☐</x:v>
      </x:c>
      <x:c r="B19" s="26" t="str">
        <x:v>Water</x:v>
      </x:c>
      <x:c r="C19" s="26" t="str">
        <x:v>Backup purification tablets</x:v>
      </x:c>
      <x:c r="D19" s="26" t="str">
        <x:v>Aquamira / chlorine dioxide tabs</x:v>
      </x:c>
      <x:c r="E19" s="28" t="n">
        <x:v>1</x:v>
      </x:c>
      <x:c r="F19" s="28" t="n">
        <x:v>1</x:v>
      </x:c>
      <x:c r="G19" s="28" t="n">
        <x:f>E19*F19</x:f>
        <x:v>1</x:v>
      </x:c>
      <x:c r="H19" s="28" t="n">
        <x:f>G19/16</x:f>
        <x:v>0.0625</x:v>
      </x:c>
      <x:c r="I19" s="26" t="str">
        <x:v>Yes</x:v>
      </x:c>
      <x:c r="J19" s="26" t="str">
        <x:v>Shared</x:v>
      </x:c>
      <x:c r="K19" s="26" t="str">
        <x:v>Yes</x:v>
      </x:c>
      <x:c r="L19" s="28" t="n">
        <x:v>2</x:v>
      </x:c>
      <x:c r="M19" s="28" t="n">
        <x:f>IF(I19="No",0,IF(K19="Yes",G19/MAX(1,L19),IF(J19="Me",G19,0)))</x:f>
        <x:v>0.5</x:v>
      </x:c>
      <x:c r="N19" s="28" t="n">
        <x:f>M19/16</x:f>
        <x:v>0.03125</x:v>
      </x:c>
      <x:c r="O19" s="26" t="str">
        <x:v>Must-have</x:v>
      </x:c>
      <x:c r="P19" s="26" t="str">
        <x:v>Emergency kit</x:v>
      </x:c>
      <x:c r="Q19" s="26" t="str">
        <x:v>Need</x:v>
      </x:c>
      <x:c r="R19" s="26" t="str">
        <x:v>Backup in case filter fails.</x:v>
      </x:c>
    </x:row>
    <x:row r="20">
      <x:c r="A20" s="26" t="str">
        <x:v>☐</x:v>
      </x:c>
      <x:c r="B20" s="26" t="str">
        <x:v>Cooking/Food</x:v>
      </x:c>
      <x:c r="C20" s="26" t="str">
        <x:v>Stove</x:v>
      </x:c>
      <x:c r="D20" s="26" t="str">
        <x:v>MSR PocketRocket 2 / Soto WindMaster</x:v>
      </x:c>
      <x:c r="E20" s="28" t="n">
        <x:v>1</x:v>
      </x:c>
      <x:c r="F20" s="28" t="n">
        <x:v>2.6</x:v>
      </x:c>
      <x:c r="G20" s="28" t="n">
        <x:f>E20*F20</x:f>
        <x:v>2.6</x:v>
      </x:c>
      <x:c r="H20" s="28" t="n">
        <x:f>G20/16</x:f>
        <x:v>0.1625</x:v>
      </x:c>
      <x:c r="I20" s="26" t="str">
        <x:v>Yes</x:v>
      </x:c>
      <x:c r="J20" s="26" t="str">
        <x:v>Shared</x:v>
      </x:c>
      <x:c r="K20" s="26" t="str">
        <x:v>Yes</x:v>
      </x:c>
      <x:c r="L20" s="28" t="n">
        <x:v>2</x:v>
      </x:c>
      <x:c r="M20" s="28" t="n">
        <x:f>IF(I20="No",0,IF(K20="Yes",G20/MAX(1,L20),IF(J20="Me",G20,0)))</x:f>
        <x:v>1.3</x:v>
      </x:c>
      <x:c r="N20" s="28" t="n">
        <x:f>M20/16</x:f>
        <x:v>0.08125</x:v>
      </x:c>
      <x:c r="O20" s="26" t="str">
        <x:v>Must-have</x:v>
      </x:c>
      <x:c r="P20" s="26" t="str">
        <x:v>Camp kitchen</x:v>
      </x:c>
      <x:c r="Q20" s="26" t="str">
        <x:v>Need</x:v>
      </x:c>
      <x:c r="R20" s="26" t="str">
        <x:v>Can be shared.</x:v>
      </x:c>
    </x:row>
    <x:row r="21">
      <x:c r="A21" s="26" t="str">
        <x:v>☐</x:v>
      </x:c>
      <x:c r="B21" s="26" t="str">
        <x:v>Cooking/Food</x:v>
      </x:c>
      <x:c r="C21" s="26" t="str">
        <x:v>Fuel canister</x:v>
      </x:c>
      <x:c r="D21" s="26" t="str">
        <x:v>Medium isobutane canister</x:v>
      </x:c>
      <x:c r="E21" s="28" t="n">
        <x:v>1</x:v>
      </x:c>
      <x:c r="F21" s="28" t="n">
        <x:v>8</x:v>
      </x:c>
      <x:c r="G21" s="28" t="n">
        <x:f>E21*F21</x:f>
        <x:v>8</x:v>
      </x:c>
      <x:c r="H21" s="28" t="n">
        <x:f>G21/16</x:f>
        <x:v>0.5</x:v>
      </x:c>
      <x:c r="I21" s="26" t="str">
        <x:v>Yes</x:v>
      </x:c>
      <x:c r="J21" s="26" t="str">
        <x:v>Shared</x:v>
      </x:c>
      <x:c r="K21" s="26" t="str">
        <x:v>Yes</x:v>
      </x:c>
      <x:c r="L21" s="28" t="n">
        <x:v>2</x:v>
      </x:c>
      <x:c r="M21" s="28" t="n">
        <x:f>IF(I21="No",0,IF(K21="Yes",G21/MAX(1,L21),IF(J21="Me",G21,0)))</x:f>
        <x:v>4</x:v>
      </x:c>
      <x:c r="N21" s="28" t="n">
        <x:f>M21/16</x:f>
        <x:v>0.25</x:v>
      </x:c>
      <x:c r="O21" s="26" t="str">
        <x:v>Must-have</x:v>
      </x:c>
      <x:c r="P21" s="26" t="str">
        <x:v>Camp kitchen</x:v>
      </x:c>
      <x:c r="Q21" s="26" t="str">
        <x:v>Need</x:v>
      </x:c>
      <x:c r="R21" s="26" t="str">
        <x:v>Approximate full canister weight.</x:v>
      </x:c>
    </x:row>
    <x:row r="22">
      <x:c r="A22" s="26" t="str">
        <x:v>☐</x:v>
      </x:c>
      <x:c r="B22" s="26" t="str">
        <x:v>Cooking/Food</x:v>
      </x:c>
      <x:c r="C22" s="26" t="str">
        <x:v>Cook pot</x:v>
      </x:c>
      <x:c r="D22" s="26" t="str">
        <x:v>TOAKS 750ml titanium pot</x:v>
      </x:c>
      <x:c r="E22" s="28" t="n">
        <x:v>1</x:v>
      </x:c>
      <x:c r="F22" s="28" t="n">
        <x:v>3.6</x:v>
      </x:c>
      <x:c r="G22" s="28" t="n">
        <x:f>E22*F22</x:f>
        <x:v>3.6</x:v>
      </x:c>
      <x:c r="H22" s="28" t="n">
        <x:f>G22/16</x:f>
        <x:v>0.225</x:v>
      </x:c>
      <x:c r="I22" s="26" t="str">
        <x:v>Yes</x:v>
      </x:c>
      <x:c r="J22" s="26" t="str">
        <x:v>Shared</x:v>
      </x:c>
      <x:c r="K22" s="26" t="str">
        <x:v>Yes</x:v>
      </x:c>
      <x:c r="L22" s="28" t="n">
        <x:v>2</x:v>
      </x:c>
      <x:c r="M22" s="28" t="n">
        <x:f>IF(I22="No",0,IF(K22="Yes",G22/MAX(1,L22),IF(J22="Me",G22,0)))</x:f>
        <x:v>1.8</x:v>
      </x:c>
      <x:c r="N22" s="28" t="n">
        <x:f>M22/16</x:f>
        <x:v>0.1125</x:v>
      </x:c>
      <x:c r="O22" s="26" t="str">
        <x:v>Must-have</x:v>
      </x:c>
      <x:c r="P22" s="26" t="str">
        <x:v>Camp kitchen</x:v>
      </x:c>
      <x:c r="Q22" s="26" t="str">
        <x:v>Need</x:v>
      </x:c>
      <x:c r="R22" s="26" t="str">
        <x:v>Good for boil-only meals.</x:v>
      </x:c>
    </x:row>
    <x:row r="23">
      <x:c r="A23" s="26" t="str">
        <x:v>☐</x:v>
      </x:c>
      <x:c r="B23" s="26" t="str">
        <x:v>Cooking/Food</x:v>
      </x:c>
      <x:c r="C23" s="26" t="str">
        <x:v>Long spoon</x:v>
      </x:c>
      <x:c r="D23" s="26" t="str">
        <x:v>Sea to Summit / TOAKS long spoon</x:v>
      </x:c>
      <x:c r="E23" s="28" t="n">
        <x:v>1</x:v>
      </x:c>
      <x:c r="F23" s="28" t="n">
        <x:v>0.5</x:v>
      </x:c>
      <x:c r="G23" s="28" t="n">
        <x:f>E23*F23</x:f>
        <x:v>0.5</x:v>
      </x:c>
      <x:c r="H23" s="28" t="n">
        <x:f>G23/16</x:f>
        <x:v>0.03125</x:v>
      </x:c>
      <x:c r="I23" s="26" t="str">
        <x:v>Yes</x:v>
      </x:c>
      <x:c r="J23" s="26" t="str">
        <x:v>Me</x:v>
      </x:c>
      <x:c r="K23" s="26" t="str">
        <x:v>No</x:v>
      </x:c>
      <x:c r="L23" s="28" t="n">
        <x:v>1</x:v>
      </x:c>
      <x:c r="M23" s="28" t="n">
        <x:f>IF(I23="No",0,IF(K23="Yes",G23/MAX(1,L23),IF(J23="Me",G23,0)))</x:f>
        <x:v>0.5</x:v>
      </x:c>
      <x:c r="N23" s="28" t="n">
        <x:f>M23/16</x:f>
        <x:v>0.03125</x:v>
      </x:c>
      <x:c r="O23" s="26" t="str">
        <x:v>Must-have</x:v>
      </x:c>
      <x:c r="P23" s="26" t="str">
        <x:v>Backpack</x:v>
      </x:c>
      <x:c r="Q23" s="26" t="str">
        <x:v>Need</x:v>
      </x:c>
      <x:c r="R23" s="26" t="str">
        <x:v>Useful for freeze-dried meals.</x:v>
      </x:c>
    </x:row>
    <x:row r="24">
      <x:c r="A24" s="26" t="str">
        <x:v>☐</x:v>
      </x:c>
      <x:c r="B24" s="26" t="str">
        <x:v>Cooking/Food</x:v>
      </x:c>
      <x:c r="C24" s="26" t="str">
        <x:v>Food storage bag</x:v>
      </x:c>
      <x:c r="D24" s="26" t="str">
        <x:v>Ursack Major or odor-resistant food bag</x:v>
      </x:c>
      <x:c r="E24" s="28" t="n">
        <x:v>1</x:v>
      </x:c>
      <x:c r="F24" s="28" t="n">
        <x:v>7.6</x:v>
      </x:c>
      <x:c r="G24" s="28" t="n">
        <x:f>E24*F24</x:f>
        <x:v>7.6</x:v>
      </x:c>
      <x:c r="H24" s="28" t="n">
        <x:f>G24/16</x:f>
        <x:v>0.475</x:v>
      </x:c>
      <x:c r="I24" s="26" t="str">
        <x:v>Yes</x:v>
      </x:c>
      <x:c r="J24" s="26" t="str">
        <x:v>Shared</x:v>
      </x:c>
      <x:c r="K24" s="26" t="str">
        <x:v>Yes</x:v>
      </x:c>
      <x:c r="L24" s="28" t="n">
        <x:v>2</x:v>
      </x:c>
      <x:c r="M24" s="28" t="n">
        <x:f>IF(I24="No",0,IF(K24="Yes",G24/MAX(1,L24),IF(J24="Me",G24,0)))</x:f>
        <x:v>3.8</x:v>
      </x:c>
      <x:c r="N24" s="28" t="n">
        <x:f>M24/16</x:f>
        <x:v>0.2375</x:v>
      </x:c>
      <x:c r="O24" s="26" t="str">
        <x:v>Must-have</x:v>
      </x:c>
      <x:c r="P24" s="26" t="str">
        <x:v>Bear storage</x:v>
      </x:c>
      <x:c r="Q24" s="26" t="str">
        <x:v>Need</x:v>
      </x:c>
      <x:c r="R24" s="26" t="str">
        <x:v>Confirm local food storage rules and group plan.</x:v>
      </x:c>
    </x:row>
    <x:row r="25">
      <x:c r="A25" s="26" t="str">
        <x:v>☐</x:v>
      </x:c>
      <x:c r="B25" s="26" t="str">
        <x:v>Cooking/Food</x:v>
      </x:c>
      <x:c r="C25" s="26" t="str">
        <x:v>Bear canister alternative</x:v>
      </x:c>
      <x:c r="D25" s="26" t="str">
        <x:v>BearVault BV450 if needed</x:v>
      </x:c>
      <x:c r="E25" s="28" t="n">
        <x:v>1</x:v>
      </x:c>
      <x:c r="F25" s="28" t="n">
        <x:v>33</x:v>
      </x:c>
      <x:c r="G25" s="28" t="n">
        <x:f>E25*F25</x:f>
        <x:v>33</x:v>
      </x:c>
      <x:c r="H25" s="28" t="n">
        <x:f>G25/16</x:f>
        <x:v>2.0625</x:v>
      </x:c>
      <x:c r="I25" s="26" t="str">
        <x:v>No</x:v>
      </x:c>
      <x:c r="J25" s="26" t="str">
        <x:v>Shared</x:v>
      </x:c>
      <x:c r="K25" s="26" t="str">
        <x:v>Yes</x:v>
      </x:c>
      <x:c r="L25" s="28" t="n">
        <x:v>2</x:v>
      </x:c>
      <x:c r="M25" s="28" t="n">
        <x:f>IF(I25="No",0,IF(K25="Yes",G25/MAX(1,L25),IF(J25="Me",G25,0)))</x:f>
        <x:v>0</x:v>
      </x:c>
      <x:c r="N25" s="28" t="n">
        <x:f>M25/16</x:f>
        <x:v>0</x:v>
      </x:c>
      <x:c r="O25" s="26" t="str">
        <x:v>Optional</x:v>
      </x:c>
      <x:c r="P25" s="26" t="str">
        <x:v>Vehicle</x:v>
      </x:c>
      <x:c r="Q25" s="26" t="str">
        <x:v>Need</x:v>
      </x:c>
      <x:c r="R25" s="26" t="str">
        <x:v>Set Include in Carry to Yes if you use this instead of Ursack.</x:v>
      </x:c>
    </x:row>
    <x:row r="26">
      <x:c r="A26" s="26" t="str">
        <x:v>☐</x:v>
      </x:c>
      <x:c r="B26" s="26" t="str">
        <x:v>Cooking/Food</x:v>
      </x:c>
      <x:c r="C26" s="26" t="str">
        <x:v>Food - 5 day estimate</x:v>
      </x:c>
      <x:c r="D26" s="26" t="str">
        <x:v>Dehydrated meals, bars, tortillas, tuna/chicken packets</x:v>
      </x:c>
      <x:c r="E26" s="28" t="n">
        <x:v>1</x:v>
      </x:c>
      <x:c r="F26" s="28" t="n">
        <x:v>160</x:v>
      </x:c>
      <x:c r="G26" s="28" t="n">
        <x:f>E26*F26</x:f>
        <x:v>160</x:v>
      </x:c>
      <x:c r="H26" s="28" t="n">
        <x:f>G26/16</x:f>
        <x:v>10</x:v>
      </x:c>
      <x:c r="I26" s="26" t="str">
        <x:v>Yes</x:v>
      </x:c>
      <x:c r="J26" s="26" t="str">
        <x:v>Me</x:v>
      </x:c>
      <x:c r="K26" s="26" t="str">
        <x:v>No</x:v>
      </x:c>
      <x:c r="L26" s="28" t="n">
        <x:v>1</x:v>
      </x:c>
      <x:c r="M26" s="28" t="n">
        <x:f>IF(I26="No",0,IF(K26="Yes",G26/MAX(1,L26),IF(J26="Me",G26,0)))</x:f>
        <x:v>160</x:v>
      </x:c>
      <x:c r="N26" s="28" t="n">
        <x:f>M26/16</x:f>
        <x:v>10</x:v>
      </x:c>
      <x:c r="O26" s="26" t="str">
        <x:v>Must-have</x:v>
      </x:c>
      <x:c r="P26" s="26" t="str">
        <x:v>Bear storage</x:v>
      </x:c>
      <x:c r="Q26" s="26" t="str">
        <x:v>Need</x:v>
      </x:c>
      <x:c r="R26" s="26" t="str">
        <x:v>Estimate 2 lb/day. Adjust based on actual meal plan.</x:v>
      </x:c>
    </x:row>
    <x:row r="27">
      <x:c r="A27" s="26" t="str">
        <x:v>☐</x:v>
      </x:c>
      <x:c r="B27" s="26" t="str">
        <x:v>Fire Supplies</x:v>
      </x:c>
      <x:c r="C27" s="26" t="str">
        <x:v>Bic lighters</x:v>
      </x:c>
      <x:c r="D27" s="26" t="str">
        <x:v>Mini Bic</x:v>
      </x:c>
      <x:c r="E27" s="28" t="n">
        <x:v>2</x:v>
      </x:c>
      <x:c r="F27" s="28" t="n">
        <x:v>0.4</x:v>
      </x:c>
      <x:c r="G27" s="28" t="n">
        <x:f>E27*F27</x:f>
        <x:v>0.8</x:v>
      </x:c>
      <x:c r="H27" s="28" t="n">
        <x:f>G27/16</x:f>
        <x:v>0.05</x:v>
      </x:c>
      <x:c r="I27" s="26" t="str">
        <x:v>Yes</x:v>
      </x:c>
      <x:c r="J27" s="26" t="str">
        <x:v>Shared</x:v>
      </x:c>
      <x:c r="K27" s="26" t="str">
        <x:v>Yes</x:v>
      </x:c>
      <x:c r="L27" s="28" t="n">
        <x:v>2</x:v>
      </x:c>
      <x:c r="M27" s="28" t="n">
        <x:f>IF(I27="No",0,IF(K27="Yes",G27/MAX(1,L27),IF(J27="Me",G27,0)))</x:f>
        <x:v>0.4</x:v>
      </x:c>
      <x:c r="N27" s="28" t="n">
        <x:f>M27/16</x:f>
        <x:v>0.025</x:v>
      </x:c>
      <x:c r="O27" s="26" t="str">
        <x:v>Must-have</x:v>
      </x:c>
      <x:c r="P27" s="26" t="str">
        <x:v>Fire kit</x:v>
      </x:c>
      <x:c r="Q27" s="26" t="str">
        <x:v>Need</x:v>
      </x:c>
      <x:c r="R27" s="26" t="str">
        <x:v>Bring at least two.</x:v>
      </x:c>
    </x:row>
    <x:row r="28">
      <x:c r="A28" s="26" t="str">
        <x:v>☐</x:v>
      </x:c>
      <x:c r="B28" s="26" t="str">
        <x:v>Fire Supplies</x:v>
      </x:c>
      <x:c r="C28" s="26" t="str">
        <x:v>Waterproof matches</x:v>
      </x:c>
      <x:c r="D28" s="26" t="str">
        <x:v>UCO / Coghlan's</x:v>
      </x:c>
      <x:c r="E28" s="28" t="n">
        <x:v>1</x:v>
      </x:c>
      <x:c r="F28" s="28" t="n">
        <x:v>1</x:v>
      </x:c>
      <x:c r="G28" s="28" t="n">
        <x:f>E28*F28</x:f>
        <x:v>1</x:v>
      </x:c>
      <x:c r="H28" s="28" t="n">
        <x:f>G28/16</x:f>
        <x:v>0.0625</x:v>
      </x:c>
      <x:c r="I28" s="26" t="str">
        <x:v>Yes</x:v>
      </x:c>
      <x:c r="J28" s="26" t="str">
        <x:v>Shared</x:v>
      </x:c>
      <x:c r="K28" s="26" t="str">
        <x:v>Yes</x:v>
      </x:c>
      <x:c r="L28" s="28" t="n">
        <x:v>2</x:v>
      </x:c>
      <x:c r="M28" s="28" t="n">
        <x:f>IF(I28="No",0,IF(K28="Yes",G28/MAX(1,L28),IF(J28="Me",G28,0)))</x:f>
        <x:v>0.5</x:v>
      </x:c>
      <x:c r="N28" s="28" t="n">
        <x:f>M28/16</x:f>
        <x:v>0.03125</x:v>
      </x:c>
      <x:c r="O28" s="26" t="str">
        <x:v>Nice-to-have</x:v>
      </x:c>
      <x:c r="P28" s="26" t="str">
        <x:v>Fire kit</x:v>
      </x:c>
      <x:c r="Q28" s="26" t="str">
        <x:v>Need</x:v>
      </x:c>
      <x:c r="R28" s="26" t="str">
        <x:v>Backup ignition.</x:v>
      </x:c>
    </x:row>
    <x:row r="29">
      <x:c r="A29" s="26" t="str">
        <x:v>☐</x:v>
      </x:c>
      <x:c r="B29" s="26" t="str">
        <x:v>Fire Supplies</x:v>
      </x:c>
      <x:c r="C29" s="26" t="str">
        <x:v>Tinder/firestarter</x:v>
      </x:c>
      <x:c r="D29" s="26" t="str">
        <x:v>WetFire / cotton balls + petroleum jelly</x:v>
      </x:c>
      <x:c r="E29" s="28" t="n">
        <x:v>1</x:v>
      </x:c>
      <x:c r="F29" s="28" t="n">
        <x:v>2</x:v>
      </x:c>
      <x:c r="G29" s="28" t="n">
        <x:f>E29*F29</x:f>
        <x:v>2</x:v>
      </x:c>
      <x:c r="H29" s="28" t="n">
        <x:f>G29/16</x:f>
        <x:v>0.125</x:v>
      </x:c>
      <x:c r="I29" s="26" t="str">
        <x:v>Yes</x:v>
      </x:c>
      <x:c r="J29" s="26" t="str">
        <x:v>Shared</x:v>
      </x:c>
      <x:c r="K29" s="26" t="str">
        <x:v>Yes</x:v>
      </x:c>
      <x:c r="L29" s="28" t="n">
        <x:v>2</x:v>
      </x:c>
      <x:c r="M29" s="28" t="n">
        <x:f>IF(I29="No",0,IF(K29="Yes",G29/MAX(1,L29),IF(J29="Me",G29,0)))</x:f>
        <x:v>1</x:v>
      </x:c>
      <x:c r="N29" s="28" t="n">
        <x:f>M29/16</x:f>
        <x:v>0.0625</x:v>
      </x:c>
      <x:c r="O29" s="26" t="str">
        <x:v>Must-have</x:v>
      </x:c>
      <x:c r="P29" s="26" t="str">
        <x:v>Fire kit</x:v>
      </x:c>
      <x:c r="Q29" s="26" t="str">
        <x:v>Need</x:v>
      </x:c>
      <x:c r="R29" s="26" t="str">
        <x:v>Use only where fires are allowed.</x:v>
      </x:c>
    </x:row>
    <x:row r="30">
      <x:c r="A30" s="26" t="str">
        <x:v>☐</x:v>
      </x:c>
      <x:c r="B30" s="26" t="str">
        <x:v>Fire Supplies</x:v>
      </x:c>
      <x:c r="C30" s="26" t="str">
        <x:v>Ferro rod</x:v>
      </x:c>
      <x:c r="D30" s="26" t="str">
        <x:v>Light My Fire or similar</x:v>
      </x:c>
      <x:c r="E30" s="28" t="n">
        <x:v>1</x:v>
      </x:c>
      <x:c r="F30" s="28" t="n">
        <x:v>2</x:v>
      </x:c>
      <x:c r="G30" s="28" t="n">
        <x:f>E30*F30</x:f>
        <x:v>2</x:v>
      </x:c>
      <x:c r="H30" s="28" t="n">
        <x:f>G30/16</x:f>
        <x:v>0.125</x:v>
      </x:c>
      <x:c r="I30" s="26" t="str">
        <x:v>Yes</x:v>
      </x:c>
      <x:c r="J30" s="26" t="str">
        <x:v>Shared</x:v>
      </x:c>
      <x:c r="K30" s="26" t="str">
        <x:v>Yes</x:v>
      </x:c>
      <x:c r="L30" s="28" t="n">
        <x:v>2</x:v>
      </x:c>
      <x:c r="M30" s="28" t="n">
        <x:f>IF(I30="No",0,IF(K30="Yes",G30/MAX(1,L30),IF(J30="Me",G30,0)))</x:f>
        <x:v>1</x:v>
      </x:c>
      <x:c r="N30" s="28" t="n">
        <x:f>M30/16</x:f>
        <x:v>0.0625</x:v>
      </x:c>
      <x:c r="O30" s="26" t="str">
        <x:v>Optional</x:v>
      </x:c>
      <x:c r="P30" s="26" t="str">
        <x:v>Fire kit</x:v>
      </x:c>
      <x:c r="Q30" s="26" t="str">
        <x:v>Need</x:v>
      </x:c>
      <x:c r="R30" s="26" t="str">
        <x:v>Backup method; not a replacement for lighters.</x:v>
      </x:c>
    </x:row>
    <x:row r="31">
      <x:c r="A31" s="26" t="str">
        <x:v>☐</x:v>
      </x:c>
      <x:c r="B31" s="26" t="str">
        <x:v>Medical Supplies</x:v>
      </x:c>
      <x:c r="C31" s="26" t="str">
        <x:v>First aid kit</x:v>
      </x:c>
      <x:c r="D31" s="26" t="str">
        <x:v>Adventure Medical Kits .5/.7 or custom kit</x:v>
      </x:c>
      <x:c r="E31" s="28" t="n">
        <x:v>1</x:v>
      </x:c>
      <x:c r="F31" s="28" t="n">
        <x:v>8</x:v>
      </x:c>
      <x:c r="G31" s="28" t="n">
        <x:f>E31*F31</x:f>
        <x:v>8</x:v>
      </x:c>
      <x:c r="H31" s="28" t="n">
        <x:f>G31/16</x:f>
        <x:v>0.5</x:v>
      </x:c>
      <x:c r="I31" s="26" t="str">
        <x:v>Yes</x:v>
      </x:c>
      <x:c r="J31" s="26" t="str">
        <x:v>Shared</x:v>
      </x:c>
      <x:c r="K31" s="26" t="str">
        <x:v>Yes</x:v>
      </x:c>
      <x:c r="L31" s="28" t="n">
        <x:v>2</x:v>
      </x:c>
      <x:c r="M31" s="28" t="n">
        <x:f>IF(I31="No",0,IF(K31="Yes",G31/MAX(1,L31),IF(J31="Me",G31,0)))</x:f>
        <x:v>4</x:v>
      </x:c>
      <x:c r="N31" s="28" t="n">
        <x:f>M31/16</x:f>
        <x:v>0.25</x:v>
      </x:c>
      <x:c r="O31" s="26" t="str">
        <x:v>Must-have</x:v>
      </x:c>
      <x:c r="P31" s="26" t="str">
        <x:v>Medical kit</x:v>
      </x:c>
      <x:c r="Q31" s="26" t="str">
        <x:v>Need</x:v>
      </x:c>
      <x:c r="R31" s="26" t="str">
        <x:v>Can be group-carried, but keep personal meds separate.</x:v>
      </x:c>
    </x:row>
    <x:row r="32">
      <x:c r="A32" s="26" t="str">
        <x:v>☐</x:v>
      </x:c>
      <x:c r="B32" s="26" t="str">
        <x:v>Medical Supplies</x:v>
      </x:c>
      <x:c r="C32" s="26" t="str">
        <x:v>Blister kit</x:v>
      </x:c>
      <x:c r="D32" s="26" t="str">
        <x:v>Leukotape, moleskin, alcohol wipes</x:v>
      </x:c>
      <x:c r="E32" s="28" t="n">
        <x:v>1</x:v>
      </x:c>
      <x:c r="F32" s="28" t="n">
        <x:v>1.5</x:v>
      </x:c>
      <x:c r="G32" s="28" t="n">
        <x:f>E32*F32</x:f>
        <x:v>1.5</x:v>
      </x:c>
      <x:c r="H32" s="28" t="n">
        <x:f>G32/16</x:f>
        <x:v>0.09375</x:v>
      </x:c>
      <x:c r="I32" s="26" t="str">
        <x:v>Yes</x:v>
      </x:c>
      <x:c r="J32" s="26" t="str">
        <x:v>Shared</x:v>
      </x:c>
      <x:c r="K32" s="26" t="str">
        <x:v>Yes</x:v>
      </x:c>
      <x:c r="L32" s="28" t="n">
        <x:v>2</x:v>
      </x:c>
      <x:c r="M32" s="28" t="n">
        <x:f>IF(I32="No",0,IF(K32="Yes",G32/MAX(1,L32),IF(J32="Me",G32,0)))</x:f>
        <x:v>0.75</x:v>
      </x:c>
      <x:c r="N32" s="28" t="n">
        <x:f>M32/16</x:f>
        <x:v>0.046875</x:v>
      </x:c>
      <x:c r="O32" s="26" t="str">
        <x:v>Must-have</x:v>
      </x:c>
      <x:c r="P32" s="26" t="str">
        <x:v>Medical kit</x:v>
      </x:c>
      <x:c r="Q32" s="26" t="str">
        <x:v>Need</x:v>
      </x:c>
      <x:c r="R32" s="26" t="str">
        <x:v>Important if hiking and creek work.</x:v>
      </x:c>
    </x:row>
    <x:row r="33">
      <x:c r="A33" s="26" t="str">
        <x:v>☐</x:v>
      </x:c>
      <x:c r="B33" s="26" t="str">
        <x:v>Medical Supplies</x:v>
      </x:c>
      <x:c r="C33" s="26" t="str">
        <x:v>Pain reliever / allergy meds</x:v>
      </x:c>
      <x:c r="D33" s="26" t="str">
        <x:v>Ibuprofen, acetaminophen, antihistamine</x:v>
      </x:c>
      <x:c r="E33" s="28" t="n">
        <x:v>1</x:v>
      </x:c>
      <x:c r="F33" s="28" t="n">
        <x:v>1</x:v>
      </x:c>
      <x:c r="G33" s="28" t="n">
        <x:f>E33*F33</x:f>
        <x:v>1</x:v>
      </x:c>
      <x:c r="H33" s="28" t="n">
        <x:f>G33/16</x:f>
        <x:v>0.0625</x:v>
      </x:c>
      <x:c r="I33" s="26" t="str">
        <x:v>Yes</x:v>
      </x:c>
      <x:c r="J33" s="26" t="str">
        <x:v>Shared</x:v>
      </x:c>
      <x:c r="K33" s="26" t="str">
        <x:v>Yes</x:v>
      </x:c>
      <x:c r="L33" s="28" t="n">
        <x:v>2</x:v>
      </x:c>
      <x:c r="M33" s="28" t="n">
        <x:f>IF(I33="No",0,IF(K33="Yes",G33/MAX(1,L33),IF(J33="Me",G33,0)))</x:f>
        <x:v>0.5</x:v>
      </x:c>
      <x:c r="N33" s="28" t="n">
        <x:f>M33/16</x:f>
        <x:v>0.03125</x:v>
      </x:c>
      <x:c r="O33" s="26" t="str">
        <x:v>Must-have</x:v>
      </x:c>
      <x:c r="P33" s="26" t="str">
        <x:v>Medical kit</x:v>
      </x:c>
      <x:c r="Q33" s="26" t="str">
        <x:v>Need</x:v>
      </x:c>
      <x:c r="R33" s="26" t="str">
        <x:v>Pack in labeled small bag.</x:v>
      </x:c>
    </x:row>
    <x:row r="34">
      <x:c r="A34" s="26" t="str">
        <x:v>☐</x:v>
      </x:c>
      <x:c r="B34" s="26" t="str">
        <x:v>Medical Supplies</x:v>
      </x:c>
      <x:c r="C34" s="26" t="str">
        <x:v>Tick remover</x:v>
      </x:c>
      <x:c r="D34" s="26" t="str">
        <x:v>Tick key or tweezers</x:v>
      </x:c>
      <x:c r="E34" s="28" t="n">
        <x:v>1</x:v>
      </x:c>
      <x:c r="F34" s="28" t="n">
        <x:v>0.2</x:v>
      </x:c>
      <x:c r="G34" s="28" t="n">
        <x:f>E34*F34</x:f>
        <x:v>0.2</x:v>
      </x:c>
      <x:c r="H34" s="28" t="n">
        <x:f>G34/16</x:f>
        <x:v>0.0125</x:v>
      </x:c>
      <x:c r="I34" s="26" t="str">
        <x:v>Yes</x:v>
      </x:c>
      <x:c r="J34" s="26" t="str">
        <x:v>Shared</x:v>
      </x:c>
      <x:c r="K34" s="26" t="str">
        <x:v>Yes</x:v>
      </x:c>
      <x:c r="L34" s="28" t="n">
        <x:v>2</x:v>
      </x:c>
      <x:c r="M34" s="28" t="n">
        <x:f>IF(I34="No",0,IF(K34="Yes",G34/MAX(1,L34),IF(J34="Me",G34,0)))</x:f>
        <x:v>0.1</x:v>
      </x:c>
      <x:c r="N34" s="28" t="n">
        <x:f>M34/16</x:f>
        <x:v>0.00625</x:v>
      </x:c>
      <x:c r="O34" s="26" t="str">
        <x:v>Must-have</x:v>
      </x:c>
      <x:c r="P34" s="26" t="str">
        <x:v>Medical kit</x:v>
      </x:c>
      <x:c r="Q34" s="26" t="str">
        <x:v>Need</x:v>
      </x:c>
      <x:c r="R34" s="26" t="str">
        <x:v>North Georgia woods.</x:v>
      </x:c>
    </x:row>
    <x:row r="35">
      <x:c r="A35" s="26" t="str">
        <x:v>☐</x:v>
      </x:c>
      <x:c r="B35" s="26" t="str">
        <x:v>Medical Supplies</x:v>
      </x:c>
      <x:c r="C35" s="26" t="str">
        <x:v>Personal medications</x:v>
      </x:c>
      <x:c r="D35" s="26" t="str">
        <x:v>Your own meds</x:v>
      </x:c>
      <x:c r="E35" s="28" t="n">
        <x:v>1</x:v>
      </x:c>
      <x:c r="F35" s="28" t="n">
        <x:v>2</x:v>
      </x:c>
      <x:c r="G35" s="28" t="n">
        <x:f>E35*F35</x:f>
        <x:v>2</x:v>
      </x:c>
      <x:c r="H35" s="28" t="n">
        <x:f>G35/16</x:f>
        <x:v>0.125</x:v>
      </x:c>
      <x:c r="I35" s="26" t="str">
        <x:v>Yes</x:v>
      </x:c>
      <x:c r="J35" s="26" t="str">
        <x:v>Me</x:v>
      </x:c>
      <x:c r="K35" s="26" t="str">
        <x:v>No</x:v>
      </x:c>
      <x:c r="L35" s="28" t="n">
        <x:v>1</x:v>
      </x:c>
      <x:c r="M35" s="28" t="n">
        <x:f>IF(I35="No",0,IF(K35="Yes",G35/MAX(1,L35),IF(J35="Me",G35,0)))</x:f>
        <x:v>2</x:v>
      </x:c>
      <x:c r="N35" s="28" t="n">
        <x:f>M35/16</x:f>
        <x:v>0.125</x:v>
      </x:c>
      <x:c r="O35" s="26" t="str">
        <x:v>Must-have</x:v>
      </x:c>
      <x:c r="P35" s="26" t="str">
        <x:v>Backpack</x:v>
      </x:c>
      <x:c r="Q35" s="26" t="str">
        <x:v>Need</x:v>
      </x:c>
      <x:c r="R35" s="26" t="str">
        <x:v>Do not split this item.</x:v>
      </x:c>
    </x:row>
    <x:row r="36">
      <x:c r="A36" s="26" t="str">
        <x:v>☐</x:v>
      </x:c>
      <x:c r="B36" s="26" t="str">
        <x:v>Emergency Supplies</x:v>
      </x:c>
      <x:c r="C36" s="26" t="str">
        <x:v>Emergency blanket</x:v>
      </x:c>
      <x:c r="D36" s="26" t="str">
        <x:v>SOL emergency blanket</x:v>
      </x:c>
      <x:c r="E36" s="28" t="n">
        <x:v>1</x:v>
      </x:c>
      <x:c r="F36" s="28" t="n">
        <x:v>2</x:v>
      </x:c>
      <x:c r="G36" s="28" t="n">
        <x:f>E36*F36</x:f>
        <x:v>2</x:v>
      </x:c>
      <x:c r="H36" s="28" t="n">
        <x:f>G36/16</x:f>
        <x:v>0.125</x:v>
      </x:c>
      <x:c r="I36" s="26" t="str">
        <x:v>Yes</x:v>
      </x:c>
      <x:c r="J36" s="26" t="str">
        <x:v>Me</x:v>
      </x:c>
      <x:c r="K36" s="26" t="str">
        <x:v>No</x:v>
      </x:c>
      <x:c r="L36" s="28" t="n">
        <x:v>1</x:v>
      </x:c>
      <x:c r="M36" s="28" t="n">
        <x:f>IF(I36="No",0,IF(K36="Yes",G36/MAX(1,L36),IF(J36="Me",G36,0)))</x:f>
        <x:v>2</x:v>
      </x:c>
      <x:c r="N36" s="28" t="n">
        <x:f>M36/16</x:f>
        <x:v>0.125</x:v>
      </x:c>
      <x:c r="O36" s="26" t="str">
        <x:v>Must-have</x:v>
      </x:c>
      <x:c r="P36" s="26" t="str">
        <x:v>Emergency kit</x:v>
      </x:c>
      <x:c r="Q36" s="26" t="str">
        <x:v>Need</x:v>
      </x:c>
      <x:c r="R36" s="26" t="str">
        <x:v>Backup warmth/shelter.</x:v>
      </x:c>
    </x:row>
    <x:row r="37">
      <x:c r="A37" s="26" t="str">
        <x:v>☐</x:v>
      </x:c>
      <x:c r="B37" s="26" t="str">
        <x:v>Emergency Supplies</x:v>
      </x:c>
      <x:c r="C37" s="26" t="str">
        <x:v>Whistle</x:v>
      </x:c>
      <x:c r="D37" s="26" t="str">
        <x:v>Emergency whistle</x:v>
      </x:c>
      <x:c r="E37" s="28" t="n">
        <x:v>1</x:v>
      </x:c>
      <x:c r="F37" s="28" t="n">
        <x:v>0.2</x:v>
      </x:c>
      <x:c r="G37" s="28" t="n">
        <x:f>E37*F37</x:f>
        <x:v>0.2</x:v>
      </x:c>
      <x:c r="H37" s="28" t="n">
        <x:f>G37/16</x:f>
        <x:v>0.0125</x:v>
      </x:c>
      <x:c r="I37" s="26" t="str">
        <x:v>Yes</x:v>
      </x:c>
      <x:c r="J37" s="26" t="str">
        <x:v>Me</x:v>
      </x:c>
      <x:c r="K37" s="26" t="str">
        <x:v>No</x:v>
      </x:c>
      <x:c r="L37" s="28" t="n">
        <x:v>1</x:v>
      </x:c>
      <x:c r="M37" s="28" t="n">
        <x:f>IF(I37="No",0,IF(K37="Yes",G37/MAX(1,L37),IF(J37="Me",G37,0)))</x:f>
        <x:v>0.2</x:v>
      </x:c>
      <x:c r="N37" s="28" t="n">
        <x:f>M37/16</x:f>
        <x:v>0.0125</x:v>
      </x:c>
      <x:c r="O37" s="26" t="str">
        <x:v>Must-have</x:v>
      </x:c>
      <x:c r="P37" s="26" t="str">
        <x:v>Backpack</x:v>
      </x:c>
      <x:c r="Q37" s="26" t="str">
        <x:v>Need</x:v>
      </x:c>
      <x:c r="R37" s="26" t="str">
        <x:v>Attach to pack strap.</x:v>
      </x:c>
    </x:row>
    <x:row r="38">
      <x:c r="A38" s="26" t="str">
        <x:v>☐</x:v>
      </x:c>
      <x:c r="B38" s="26" t="str">
        <x:v>Emergency Supplies</x:v>
      </x:c>
      <x:c r="C38" s="26" t="str">
        <x:v>Knife / multitool</x:v>
      </x:c>
      <x:c r="D38" s="26" t="str">
        <x:v>Leatherman Skeletool / small fixed blade</x:v>
      </x:c>
      <x:c r="E38" s="28" t="n">
        <x:v>1</x:v>
      </x:c>
      <x:c r="F38" s="28" t="n">
        <x:v>5</x:v>
      </x:c>
      <x:c r="G38" s="28" t="n">
        <x:f>E38*F38</x:f>
        <x:v>5</x:v>
      </x:c>
      <x:c r="H38" s="28" t="n">
        <x:f>G38/16</x:f>
        <x:v>0.3125</x:v>
      </x:c>
      <x:c r="I38" s="26" t="str">
        <x:v>Yes</x:v>
      </x:c>
      <x:c r="J38" s="26" t="str">
        <x:v>Me</x:v>
      </x:c>
      <x:c r="K38" s="26" t="str">
        <x:v>No</x:v>
      </x:c>
      <x:c r="L38" s="28" t="n">
        <x:v>1</x:v>
      </x:c>
      <x:c r="M38" s="28" t="n">
        <x:f>IF(I38="No",0,IF(K38="Yes",G38/MAX(1,L38),IF(J38="Me",G38,0)))</x:f>
        <x:v>5</x:v>
      </x:c>
      <x:c r="N38" s="28" t="n">
        <x:f>M38/16</x:f>
        <x:v>0.3125</x:v>
      </x:c>
      <x:c r="O38" s="26" t="str">
        <x:v>Must-have</x:v>
      </x:c>
      <x:c r="P38" s="26" t="str">
        <x:v>Backpack</x:v>
      </x:c>
      <x:c r="Q38" s="26" t="str">
        <x:v>Need</x:v>
      </x:c>
      <x:c r="R38" s="26" t="str">
        <x:v>Keep moderate, not heavy.</x:v>
      </x:c>
    </x:row>
    <x:row r="39">
      <x:c r="A39" s="26" t="str">
        <x:v>☐</x:v>
      </x:c>
      <x:c r="B39" s="26" t="str">
        <x:v>Emergency Supplies</x:v>
      </x:c>
      <x:c r="C39" s="26" t="str">
        <x:v>Repair kit</x:v>
      </x:c>
      <x:c r="D39" s="26" t="str">
        <x:v>Tent patch, pad patch, needle/thread, zip ties</x:v>
      </x:c>
      <x:c r="E39" s="28" t="n">
        <x:v>1</x:v>
      </x:c>
      <x:c r="F39" s="28" t="n">
        <x:v>3</x:v>
      </x:c>
      <x:c r="G39" s="28" t="n">
        <x:f>E39*F39</x:f>
        <x:v>3</x:v>
      </x:c>
      <x:c r="H39" s="28" t="n">
        <x:f>G39/16</x:f>
        <x:v>0.1875</x:v>
      </x:c>
      <x:c r="I39" s="26" t="str">
        <x:v>Yes</x:v>
      </x:c>
      <x:c r="J39" s="26" t="str">
        <x:v>Shared</x:v>
      </x:c>
      <x:c r="K39" s="26" t="str">
        <x:v>Yes</x:v>
      </x:c>
      <x:c r="L39" s="28" t="n">
        <x:v>2</x:v>
      </x:c>
      <x:c r="M39" s="28" t="n">
        <x:f>IF(I39="No",0,IF(K39="Yes",G39/MAX(1,L39),IF(J39="Me",G39,0)))</x:f>
        <x:v>1.5</x:v>
      </x:c>
      <x:c r="N39" s="28" t="n">
        <x:f>M39/16</x:f>
        <x:v>0.09375</x:v>
      </x:c>
      <x:c r="O39" s="26" t="str">
        <x:v>Must-have</x:v>
      </x:c>
      <x:c r="P39" s="26" t="str">
        <x:v>Emergency kit</x:v>
      </x:c>
      <x:c r="Q39" s="26" t="str">
        <x:v>Need</x:v>
      </x:c>
      <x:c r="R39" s="26" t="str">
        <x:v>Split group repair kit.</x:v>
      </x:c>
    </x:row>
    <x:row r="40">
      <x:c r="A40" s="26" t="str">
        <x:v>☐</x:v>
      </x:c>
      <x:c r="B40" s="26" t="str">
        <x:v>Emergency Supplies</x:v>
      </x:c>
      <x:c r="C40" s="26" t="str">
        <x:v>Duct tape wrap</x:v>
      </x:c>
      <x:c r="D40" s="26" t="str">
        <x:v>Small amount wrapped around lighter/bottle</x:v>
      </x:c>
      <x:c r="E40" s="28" t="n">
        <x:v>1</x:v>
      </x:c>
      <x:c r="F40" s="28" t="n">
        <x:v>1</x:v>
      </x:c>
      <x:c r="G40" s="28" t="n">
        <x:f>E40*F40</x:f>
        <x:v>1</x:v>
      </x:c>
      <x:c r="H40" s="28" t="n">
        <x:f>G40/16</x:f>
        <x:v>0.0625</x:v>
      </x:c>
      <x:c r="I40" s="26" t="str">
        <x:v>Yes</x:v>
      </x:c>
      <x:c r="J40" s="26" t="str">
        <x:v>Me</x:v>
      </x:c>
      <x:c r="K40" s="26" t="str">
        <x:v>No</x:v>
      </x:c>
      <x:c r="L40" s="28" t="n">
        <x:v>1</x:v>
      </x:c>
      <x:c r="M40" s="28" t="n">
        <x:f>IF(I40="No",0,IF(K40="Yes",G40/MAX(1,L40),IF(J40="Me",G40,0)))</x:f>
        <x:v>1</x:v>
      </x:c>
      <x:c r="N40" s="28" t="n">
        <x:f>M40/16</x:f>
        <x:v>0.0625</x:v>
      </x:c>
      <x:c r="O40" s="26" t="str">
        <x:v>Nice-to-have</x:v>
      </x:c>
      <x:c r="P40" s="26" t="str">
        <x:v>Backpack</x:v>
      </x:c>
      <x:c r="Q40" s="26" t="str">
        <x:v>Need</x:v>
      </x:c>
      <x:c r="R40" s="26" t="str">
        <x:v>Fast field repairs.</x:v>
      </x:c>
    </x:row>
    <x:row r="41">
      <x:c r="A41" s="26" t="str">
        <x:v>☐</x:v>
      </x:c>
      <x:c r="B41" s="26" t="str">
        <x:v>Emergency Supplies</x:v>
      </x:c>
      <x:c r="C41" s="26" t="str">
        <x:v>Blaze orange hat/vest</x:v>
      </x:c>
      <x:c r="D41" s="26" t="str">
        <x:v>Lightweight orange vest or hat</x:v>
      </x:c>
      <x:c r="E41" s="28" t="n">
        <x:v>1</x:v>
      </x:c>
      <x:c r="F41" s="28" t="n">
        <x:v>3</x:v>
      </x:c>
      <x:c r="G41" s="28" t="n">
        <x:f>E41*F41</x:f>
        <x:v>3</x:v>
      </x:c>
      <x:c r="H41" s="28" t="n">
        <x:f>G41/16</x:f>
        <x:v>0.1875</x:v>
      </x:c>
      <x:c r="I41" s="26" t="str">
        <x:v>Yes</x:v>
      </x:c>
      <x:c r="J41" s="26" t="str">
        <x:v>Me</x:v>
      </x:c>
      <x:c r="K41" s="26" t="str">
        <x:v>No</x:v>
      </x:c>
      <x:c r="L41" s="28" t="n">
        <x:v>1</x:v>
      </x:c>
      <x:c r="M41" s="28" t="n">
        <x:f>IF(I41="No",0,IF(K41="Yes",G41/MAX(1,L41),IF(J41="Me",G41,0)))</x:f>
        <x:v>3</x:v>
      </x:c>
      <x:c r="N41" s="28" t="n">
        <x:f>M41/16</x:f>
        <x:v>0.1875</x:v>
      </x:c>
      <x:c r="O41" s="26" t="str">
        <x:v>Must-have</x:v>
      </x:c>
      <x:c r="P41" s="26" t="str">
        <x:v>Backpack</x:v>
      </x:c>
      <x:c r="Q41" s="26" t="str">
        <x:v>Need</x:v>
      </x:c>
      <x:c r="R41" s="26" t="str">
        <x:v>Recommended for WMA/hunting area.</x:v>
      </x:c>
    </x:row>
    <x:row r="42">
      <x:c r="A42" s="26" t="str">
        <x:v>☐</x:v>
      </x:c>
      <x:c r="B42" s="26" t="str">
        <x:v>Navigation/Lighting</x:v>
      </x:c>
      <x:c r="C42" s="26" t="str">
        <x:v>Headlamp</x:v>
      </x:c>
      <x:c r="D42" s="26" t="str">
        <x:v>Black Diamond Spot 400-R or Petzl Actik Core</x:v>
      </x:c>
      <x:c r="E42" s="28" t="n">
        <x:v>1</x:v>
      </x:c>
      <x:c r="F42" s="28" t="n">
        <x:v>3</x:v>
      </x:c>
      <x:c r="G42" s="28" t="n">
        <x:f>E42*F42</x:f>
        <x:v>3</x:v>
      </x:c>
      <x:c r="H42" s="28" t="n">
        <x:f>G42/16</x:f>
        <x:v>0.1875</x:v>
      </x:c>
      <x:c r="I42" s="26" t="str">
        <x:v>Yes</x:v>
      </x:c>
      <x:c r="J42" s="26" t="str">
        <x:v>Me</x:v>
      </x:c>
      <x:c r="K42" s="26" t="str">
        <x:v>No</x:v>
      </x:c>
      <x:c r="L42" s="28" t="n">
        <x:v>1</x:v>
      </x:c>
      <x:c r="M42" s="28" t="n">
        <x:f>IF(I42="No",0,IF(K42="Yes",G42/MAX(1,L42),IF(J42="Me",G42,0)))</x:f>
        <x:v>3</x:v>
      </x:c>
      <x:c r="N42" s="28" t="n">
        <x:f>M42/16</x:f>
        <x:v>0.1875</x:v>
      </x:c>
      <x:c r="O42" s="26" t="str">
        <x:v>Must-have</x:v>
      </x:c>
      <x:c r="P42" s="26" t="str">
        <x:v>Backpack</x:v>
      </x:c>
      <x:c r="Q42" s="26" t="str">
        <x:v>Need</x:v>
      </x:c>
      <x:c r="R42" s="26" t="str">
        <x:v>Primary light.</x:v>
      </x:c>
    </x:row>
    <x:row r="43">
      <x:c r="A43" s="26" t="str">
        <x:v>☐</x:v>
      </x:c>
      <x:c r="B43" s="26" t="str">
        <x:v>Navigation/Lighting</x:v>
      </x:c>
      <x:c r="C43" s="26" t="str">
        <x:v>Backup batteries / charge cable</x:v>
      </x:c>
      <x:c r="D43" s="26" t="str">
        <x:v>AAA batteries or USB cable</x:v>
      </x:c>
      <x:c r="E43" s="28" t="n">
        <x:v>1</x:v>
      </x:c>
      <x:c r="F43" s="28" t="n">
        <x:v>1</x:v>
      </x:c>
      <x:c r="G43" s="28" t="n">
        <x:f>E43*F43</x:f>
        <x:v>1</x:v>
      </x:c>
      <x:c r="H43" s="28" t="n">
        <x:f>G43/16</x:f>
        <x:v>0.0625</x:v>
      </x:c>
      <x:c r="I43" s="26" t="str">
        <x:v>Yes</x:v>
      </x:c>
      <x:c r="J43" s="26" t="str">
        <x:v>Me</x:v>
      </x:c>
      <x:c r="K43" s="26" t="str">
        <x:v>No</x:v>
      </x:c>
      <x:c r="L43" s="28" t="n">
        <x:v>1</x:v>
      </x:c>
      <x:c r="M43" s="28" t="n">
        <x:f>IF(I43="No",0,IF(K43="Yes",G43/MAX(1,L43),IF(J43="Me",G43,0)))</x:f>
        <x:v>1</x:v>
      </x:c>
      <x:c r="N43" s="28" t="n">
        <x:f>M43/16</x:f>
        <x:v>0.0625</x:v>
      </x:c>
      <x:c r="O43" s="26" t="str">
        <x:v>Must-have</x:v>
      </x:c>
      <x:c r="P43" s="26" t="str">
        <x:v>Backpack</x:v>
      </x:c>
      <x:c r="Q43" s="26" t="str">
        <x:v>Need</x:v>
      </x:c>
      <x:c r="R43" s="26" t="str">
        <x:v>Match your headlamp.</x:v>
      </x:c>
    </x:row>
    <x:row r="44">
      <x:c r="A44" s="26" t="str">
        <x:v>☐</x:v>
      </x:c>
      <x:c r="B44" s="26" t="str">
        <x:v>Navigation/Lighting</x:v>
      </x:c>
      <x:c r="C44" s="26" t="str">
        <x:v>Power bank</x:v>
      </x:c>
      <x:c r="D44" s="26" t="str">
        <x:v>Nitecore NB10000 or Anker 10k</x:v>
      </x:c>
      <x:c r="E44" s="28" t="n">
        <x:v>1</x:v>
      </x:c>
      <x:c r="F44" s="28" t="n">
        <x:v>5.3</x:v>
      </x:c>
      <x:c r="G44" s="28" t="n">
        <x:f>E44*F44</x:f>
        <x:v>5.3</x:v>
      </x:c>
      <x:c r="H44" s="28" t="n">
        <x:f>G44/16</x:f>
        <x:v>0.33125</x:v>
      </x:c>
      <x:c r="I44" s="26" t="str">
        <x:v>Yes</x:v>
      </x:c>
      <x:c r="J44" s="26" t="str">
        <x:v>Me</x:v>
      </x:c>
      <x:c r="K44" s="26" t="str">
        <x:v>No</x:v>
      </x:c>
      <x:c r="L44" s="28" t="n">
        <x:v>1</x:v>
      </x:c>
      <x:c r="M44" s="28" t="n">
        <x:f>IF(I44="No",0,IF(K44="Yes",G44/MAX(1,L44),IF(J44="Me",G44,0)))</x:f>
        <x:v>5.3</x:v>
      </x:c>
      <x:c r="N44" s="28" t="n">
        <x:f>M44/16</x:f>
        <x:v>0.33125</x:v>
      </x:c>
      <x:c r="O44" s="26" t="str">
        <x:v>Must-have</x:v>
      </x:c>
      <x:c r="P44" s="26" t="str">
        <x:v>Backpack</x:v>
      </x:c>
      <x:c r="Q44" s="26" t="str">
        <x:v>Need</x:v>
      </x:c>
      <x:c r="R44" s="26" t="str">
        <x:v>Phone/maps/headlamp backup.</x:v>
      </x:c>
    </x:row>
    <x:row r="45">
      <x:c r="A45" s="26" t="str">
        <x:v>☐</x:v>
      </x:c>
      <x:c r="B45" s="26" t="str">
        <x:v>Navigation/Lighting</x:v>
      </x:c>
      <x:c r="C45" s="26" t="str">
        <x:v>Compass</x:v>
      </x:c>
      <x:c r="D45" s="26" t="str">
        <x:v>Baseplate compass</x:v>
      </x:c>
      <x:c r="E45" s="28" t="n">
        <x:v>1</x:v>
      </x:c>
      <x:c r="F45" s="28" t="n">
        <x:v>1</x:v>
      </x:c>
      <x:c r="G45" s="28" t="n">
        <x:f>E45*F45</x:f>
        <x:v>1</x:v>
      </x:c>
      <x:c r="H45" s="28" t="n">
        <x:f>G45/16</x:f>
        <x:v>0.0625</x:v>
      </x:c>
      <x:c r="I45" s="26" t="str">
        <x:v>Yes</x:v>
      </x:c>
      <x:c r="J45" s="26" t="str">
        <x:v>Shared</x:v>
      </x:c>
      <x:c r="K45" s="26" t="str">
        <x:v>Yes</x:v>
      </x:c>
      <x:c r="L45" s="28" t="n">
        <x:v>2</x:v>
      </x:c>
      <x:c r="M45" s="28" t="n">
        <x:f>IF(I45="No",0,IF(K45="Yes",G45/MAX(1,L45),IF(J45="Me",G45,0)))</x:f>
        <x:v>0.5</x:v>
      </x:c>
      <x:c r="N45" s="28" t="n">
        <x:f>M45/16</x:f>
        <x:v>0.03125</x:v>
      </x:c>
      <x:c r="O45" s="26" t="str">
        <x:v>Must-have</x:v>
      </x:c>
      <x:c r="P45" s="26" t="str">
        <x:v>Emergency kit</x:v>
      </x:c>
      <x:c r="Q45" s="26" t="str">
        <x:v>Need</x:v>
      </x:c>
      <x:c r="R45" s="26" t="str">
        <x:v>Backup navigation.</x:v>
      </x:c>
    </x:row>
    <x:row r="46">
      <x:c r="A46" s="26" t="str">
        <x:v>☐</x:v>
      </x:c>
      <x:c r="B46" s="26" t="str">
        <x:v>Navigation/Lighting</x:v>
      </x:c>
      <x:c r="C46" s="26" t="str">
        <x:v>Paper map / printed area screenshots</x:v>
      </x:c>
      <x:c r="D46" s="26" t="str">
        <x:v>Printed map in zip bag</x:v>
      </x:c>
      <x:c r="E46" s="28" t="n">
        <x:v>1</x:v>
      </x:c>
      <x:c r="F46" s="28" t="n">
        <x:v>2</x:v>
      </x:c>
      <x:c r="G46" s="28" t="n">
        <x:f>E46*F46</x:f>
        <x:v>2</x:v>
      </x:c>
      <x:c r="H46" s="28" t="n">
        <x:f>G46/16</x:f>
        <x:v>0.125</x:v>
      </x:c>
      <x:c r="I46" s="26" t="str">
        <x:v>Yes</x:v>
      </x:c>
      <x:c r="J46" s="26" t="str">
        <x:v>Shared</x:v>
      </x:c>
      <x:c r="K46" s="26" t="str">
        <x:v>Yes</x:v>
      </x:c>
      <x:c r="L46" s="28" t="n">
        <x:v>2</x:v>
      </x:c>
      <x:c r="M46" s="28" t="n">
        <x:f>IF(I46="No",0,IF(K46="Yes",G46/MAX(1,L46),IF(J46="Me",G46,0)))</x:f>
        <x:v>1</x:v>
      </x:c>
      <x:c r="N46" s="28" t="n">
        <x:f>M46/16</x:f>
        <x:v>0.0625</x:v>
      </x:c>
      <x:c r="O46" s="26" t="str">
        <x:v>Must-have</x:v>
      </x:c>
      <x:c r="P46" s="26" t="str">
        <x:v>Emergency kit</x:v>
      </x:c>
      <x:c r="Q46" s="26" t="str">
        <x:v>Need</x:v>
      </x:c>
      <x:c r="R46" s="26" t="str">
        <x:v>Offline backup.</x:v>
      </x:c>
    </x:row>
    <x:row r="47">
      <x:c r="A47" s="26" t="str">
        <x:v>☐</x:v>
      </x:c>
      <x:c r="B47" s="26" t="str">
        <x:v>Clothing</x:v>
      </x:c>
      <x:c r="C47" s="26" t="str">
        <x:v>Rain jacket</x:v>
      </x:c>
      <x:c r="D47" s="26" t="str">
        <x:v>REI Rainier / Marmot PreCip / Frogg Toggs</x:v>
      </x:c>
      <x:c r="E47" s="28" t="n">
        <x:v>1</x:v>
      </x:c>
      <x:c r="F47" s="28" t="n">
        <x:v>11.3</x:v>
      </x:c>
      <x:c r="G47" s="28" t="n">
        <x:f>E47*F47</x:f>
        <x:v>11.3</x:v>
      </x:c>
      <x:c r="H47" s="28" t="n">
        <x:f>G47/16</x:f>
        <x:v>0.70625</x:v>
      </x:c>
      <x:c r="I47" s="26" t="str">
        <x:v>Yes</x:v>
      </x:c>
      <x:c r="J47" s="26" t="str">
        <x:v>Me</x:v>
      </x:c>
      <x:c r="K47" s="26" t="str">
        <x:v>No</x:v>
      </x:c>
      <x:c r="L47" s="28" t="n">
        <x:v>1</x:v>
      </x:c>
      <x:c r="M47" s="28" t="n">
        <x:f>IF(I47="No",0,IF(K47="Yes",G47/MAX(1,L47),IF(J47="Me",G47,0)))</x:f>
        <x:v>11.3</x:v>
      </x:c>
      <x:c r="N47" s="28" t="n">
        <x:f>M47/16</x:f>
        <x:v>0.70625</x:v>
      </x:c>
      <x:c r="O47" s="26" t="str">
        <x:v>Must-have</x:v>
      </x:c>
      <x:c r="P47" s="26" t="str">
        <x:v>Backpack</x:v>
      </x:c>
      <x:c r="Q47" s="26" t="str">
        <x:v>Need</x:v>
      </x:c>
      <x:c r="R47" s="26" t="str">
        <x:v>Pit zips are useful.</x:v>
      </x:c>
    </x:row>
    <x:row r="48">
      <x:c r="A48" s="26" t="str">
        <x:v>☐</x:v>
      </x:c>
      <x:c r="B48" s="26" t="str">
        <x:v>Clothing</x:v>
      </x:c>
      <x:c r="C48" s="26" t="str">
        <x:v>Insulation layer</x:v>
      </x:c>
      <x:c r="D48" s="26" t="str">
        <x:v>Fleece or light puffy</x:v>
      </x:c>
      <x:c r="E48" s="28" t="n">
        <x:v>1</x:v>
      </x:c>
      <x:c r="F48" s="28" t="n">
        <x:v>12</x:v>
      </x:c>
      <x:c r="G48" s="28" t="n">
        <x:f>E48*F48</x:f>
        <x:v>12</x:v>
      </x:c>
      <x:c r="H48" s="28" t="n">
        <x:f>G48/16</x:f>
        <x:v>0.75</x:v>
      </x:c>
      <x:c r="I48" s="26" t="str">
        <x:v>Yes</x:v>
      </x:c>
      <x:c r="J48" s="26" t="str">
        <x:v>Me</x:v>
      </x:c>
      <x:c r="K48" s="26" t="str">
        <x:v>No</x:v>
      </x:c>
      <x:c r="L48" s="28" t="n">
        <x:v>1</x:v>
      </x:c>
      <x:c r="M48" s="28" t="n">
        <x:f>IF(I48="No",0,IF(K48="Yes",G48/MAX(1,L48),IF(J48="Me",G48,0)))</x:f>
        <x:v>12</x:v>
      </x:c>
      <x:c r="N48" s="28" t="n">
        <x:f>M48/16</x:f>
        <x:v>0.75</x:v>
      </x:c>
      <x:c r="O48" s="26" t="str">
        <x:v>Must-have</x:v>
      </x:c>
      <x:c r="P48" s="26" t="str">
        <x:v>Backpack</x:v>
      </x:c>
      <x:c r="Q48" s="26" t="str">
        <x:v>Need</x:v>
      </x:c>
      <x:c r="R48" s="26" t="str">
        <x:v>For cool evenings.</x:v>
      </x:c>
    </x:row>
    <x:row r="49">
      <x:c r="A49" s="26" t="str">
        <x:v>☐</x:v>
      </x:c>
      <x:c r="B49" s="26" t="str">
        <x:v>Clothing</x:v>
      </x:c>
      <x:c r="C49" s="26" t="str">
        <x:v>Base layer top/bottom</x:v>
      </x:c>
      <x:c r="D49" s="26" t="str">
        <x:v>Synthetic or merino set</x:v>
      </x:c>
      <x:c r="E49" s="28" t="n">
        <x:v>1</x:v>
      </x:c>
      <x:c r="F49" s="28" t="n">
        <x:v>12</x:v>
      </x:c>
      <x:c r="G49" s="28" t="n">
        <x:f>E49*F49</x:f>
        <x:v>12</x:v>
      </x:c>
      <x:c r="H49" s="28" t="n">
        <x:f>G49/16</x:f>
        <x:v>0.75</x:v>
      </x:c>
      <x:c r="I49" s="26" t="str">
        <x:v>Yes</x:v>
      </x:c>
      <x:c r="J49" s="26" t="str">
        <x:v>Me</x:v>
      </x:c>
      <x:c r="K49" s="26" t="str">
        <x:v>No</x:v>
      </x:c>
      <x:c r="L49" s="28" t="n">
        <x:v>1</x:v>
      </x:c>
      <x:c r="M49" s="28" t="n">
        <x:f>IF(I49="No",0,IF(K49="Yes",G49/MAX(1,L49),IF(J49="Me",G49,0)))</x:f>
        <x:v>12</x:v>
      </x:c>
      <x:c r="N49" s="28" t="n">
        <x:f>M49/16</x:f>
        <x:v>0.75</x:v>
      </x:c>
      <x:c r="O49" s="26" t="str">
        <x:v>Must-have</x:v>
      </x:c>
      <x:c r="P49" s="26" t="str">
        <x:v>Backpack</x:v>
      </x:c>
      <x:c r="Q49" s="26" t="str">
        <x:v>Need</x:v>
      </x:c>
      <x:c r="R49" s="26" t="str">
        <x:v>Sleep/cold weather layer.</x:v>
      </x:c>
    </x:row>
    <x:row r="50">
      <x:c r="A50" s="26" t="str">
        <x:v>☐</x:v>
      </x:c>
      <x:c r="B50" s="26" t="str">
        <x:v>Clothing</x:v>
      </x:c>
      <x:c r="C50" s="26" t="str">
        <x:v>Dry sleep clothes set</x:v>
      </x:c>
      <x:c r="D50" s="26" t="str">
        <x:v>Dry shirt/shorts/underwear kept separate</x:v>
      </x:c>
      <x:c r="E50" s="28" t="n">
        <x:v>1</x:v>
      </x:c>
      <x:c r="F50" s="28" t="n">
        <x:v>16</x:v>
      </x:c>
      <x:c r="G50" s="28" t="n">
        <x:f>E50*F50</x:f>
        <x:v>16</x:v>
      </x:c>
      <x:c r="H50" s="28" t="n">
        <x:f>G50/16</x:f>
        <x:v>1</x:v>
      </x:c>
      <x:c r="I50" s="26" t="str">
        <x:v>Yes</x:v>
      </x:c>
      <x:c r="J50" s="26" t="str">
        <x:v>Me</x:v>
      </x:c>
      <x:c r="K50" s="26" t="str">
        <x:v>No</x:v>
      </x:c>
      <x:c r="L50" s="28" t="n">
        <x:v>1</x:v>
      </x:c>
      <x:c r="M50" s="28" t="n">
        <x:f>IF(I50="No",0,IF(K50="Yes",G50/MAX(1,L50),IF(J50="Me",G50,0)))</x:f>
        <x:v>16</x:v>
      </x:c>
      <x:c r="N50" s="28" t="n">
        <x:f>M50/16</x:f>
        <x:v>1</x:v>
      </x:c>
      <x:c r="O50" s="26" t="str">
        <x:v>Must-have</x:v>
      </x:c>
      <x:c r="P50" s="26" t="str">
        <x:v>Backpack</x:v>
      </x:c>
      <x:c r="Q50" s="26" t="str">
        <x:v>Need</x:v>
      </x:c>
      <x:c r="R50" s="26" t="str">
        <x:v>Never wear to creek.</x:v>
      </x:c>
    </x:row>
    <x:row r="51">
      <x:c r="A51" s="26" t="str">
        <x:v>☐</x:v>
      </x:c>
      <x:c r="B51" s="26" t="str">
        <x:v>Clothing</x:v>
      </x:c>
      <x:c r="C51" s="26" t="str">
        <x:v>Wool socks</x:v>
      </x:c>
      <x:c r="D51" s="26" t="str">
        <x:v>Darn Tough / Smartwool</x:v>
      </x:c>
      <x:c r="E51" s="28" t="n">
        <x:v>3</x:v>
      </x:c>
      <x:c r="F51" s="28" t="n">
        <x:v>2.5</x:v>
      </x:c>
      <x:c r="G51" s="28" t="n">
        <x:f>E51*F51</x:f>
        <x:v>7.5</x:v>
      </x:c>
      <x:c r="H51" s="28" t="n">
        <x:f>G51/16</x:f>
        <x:v>0.46875</x:v>
      </x:c>
      <x:c r="I51" s="26" t="str">
        <x:v>Yes</x:v>
      </x:c>
      <x:c r="J51" s="26" t="str">
        <x:v>Me</x:v>
      </x:c>
      <x:c r="K51" s="26" t="str">
        <x:v>No</x:v>
      </x:c>
      <x:c r="L51" s="28" t="n">
        <x:v>1</x:v>
      </x:c>
      <x:c r="M51" s="28" t="n">
        <x:f>IF(I51="No",0,IF(K51="Yes",G51/MAX(1,L51),IF(J51="Me",G51,0)))</x:f>
        <x:v>7.5</x:v>
      </x:c>
      <x:c r="N51" s="28" t="n">
        <x:f>M51/16</x:f>
        <x:v>0.46875</x:v>
      </x:c>
      <x:c r="O51" s="26" t="str">
        <x:v>Must-have</x:v>
      </x:c>
      <x:c r="P51" s="26" t="str">
        <x:v>Backpack</x:v>
      </x:c>
      <x:c r="Q51" s="26" t="str">
        <x:v>Need</x:v>
      </x:c>
      <x:c r="R51" s="26" t="str">
        <x:v>At least one dry pair reserved for sleeping.</x:v>
      </x:c>
    </x:row>
    <x:row r="52">
      <x:c r="A52" s="26" t="str">
        <x:v>☐</x:v>
      </x:c>
      <x:c r="B52" s="26" t="str">
        <x:v>Clothing</x:v>
      </x:c>
      <x:c r="C52" s="26" t="str">
        <x:v>Gloves</x:v>
      </x:c>
      <x:c r="D52" s="26" t="str">
        <x:v>Light work gloves</x:v>
      </x:c>
      <x:c r="E52" s="28" t="n">
        <x:v>1</x:v>
      </x:c>
      <x:c r="F52" s="28" t="n">
        <x:v>3</x:v>
      </x:c>
      <x:c r="G52" s="28" t="n">
        <x:f>E52*F52</x:f>
        <x:v>3</x:v>
      </x:c>
      <x:c r="H52" s="28" t="n">
        <x:f>G52/16</x:f>
        <x:v>0.1875</x:v>
      </x:c>
      <x:c r="I52" s="26" t="str">
        <x:v>Yes</x:v>
      </x:c>
      <x:c r="J52" s="26" t="str">
        <x:v>Me</x:v>
      </x:c>
      <x:c r="K52" s="26" t="str">
        <x:v>No</x:v>
      </x:c>
      <x:c r="L52" s="28" t="n">
        <x:v>1</x:v>
      </x:c>
      <x:c r="M52" s="28" t="n">
        <x:f>IF(I52="No",0,IF(K52="Yes",G52/MAX(1,L52),IF(J52="Me",G52,0)))</x:f>
        <x:v>3</x:v>
      </x:c>
      <x:c r="N52" s="28" t="n">
        <x:f>M52/16</x:f>
        <x:v>0.1875</x:v>
      </x:c>
      <x:c r="O52" s="26" t="str">
        <x:v>Must-have</x:v>
      </x:c>
      <x:c r="P52" s="26" t="str">
        <x:v>Creek kit</x:v>
      </x:c>
      <x:c r="Q52" s="26" t="str">
        <x:v>Need</x:v>
      </x:c>
      <x:c r="R52" s="26" t="str">
        <x:v>Useful for rocks/gravel.</x:v>
      </x:c>
    </x:row>
    <x:row r="53">
      <x:c r="A53" s="26" t="str">
        <x:v>☐</x:v>
      </x:c>
      <x:c r="B53" s="26" t="str">
        <x:v>Clothing</x:v>
      </x:c>
      <x:c r="C53" s="26" t="str">
        <x:v>Water shoes / creek shoes</x:v>
      </x:c>
      <x:c r="D53" s="26" t="str">
        <x:v>Old trail shoes or Astral-style water shoes</x:v>
      </x:c>
      <x:c r="E53" s="28" t="n">
        <x:v>1</x:v>
      </x:c>
      <x:c r="F53" s="28" t="n">
        <x:v>16</x:v>
      </x:c>
      <x:c r="G53" s="28" t="n">
        <x:f>E53*F53</x:f>
        <x:v>16</x:v>
      </x:c>
      <x:c r="H53" s="28" t="n">
        <x:f>G53/16</x:f>
        <x:v>1</x:v>
      </x:c>
      <x:c r="I53" s="26" t="str">
        <x:v>No</x:v>
      </x:c>
      <x:c r="J53" s="26" t="str">
        <x:v>Me</x:v>
      </x:c>
      <x:c r="K53" s="26" t="str">
        <x:v>No</x:v>
      </x:c>
      <x:c r="L53" s="28" t="n">
        <x:v>1</x:v>
      </x:c>
      <x:c r="M53" s="28" t="n">
        <x:f>IF(I53="No",0,IF(K53="Yes",G53/MAX(1,L53),IF(J53="Me",G53,0)))</x:f>
        <x:v>0</x:v>
      </x:c>
      <x:c r="N53" s="28" t="n">
        <x:f>M53/16</x:f>
        <x:v>0</x:v>
      </x:c>
      <x:c r="O53" s="26" t="str">
        <x:v>Must-have</x:v>
      </x:c>
      <x:c r="P53" s="26" t="str">
        <x:v>Vehicle</x:v>
      </x:c>
      <x:c r="Q53" s="26" t="str">
        <x:v>Need</x:v>
      </x:c>
      <x:c r="R53" s="26" t="str">
        <x:v>Set Include in Carry to Yes only if hiking them in.</x:v>
      </x:c>
    </x:row>
    <x:row r="54">
      <x:c r="A54" s="26" t="str">
        <x:v>☐</x:v>
      </x:c>
      <x:c r="B54" s="26" t="str">
        <x:v>Hygiene/Waste</x:v>
      </x:c>
      <x:c r="C54" s="26" t="str">
        <x:v>Trowel</x:v>
      </x:c>
      <x:c r="D54" s="26" t="str">
        <x:v>Deuce-style trowel</x:v>
      </x:c>
      <x:c r="E54" s="28" t="n">
        <x:v>1</x:v>
      </x:c>
      <x:c r="F54" s="28" t="n">
        <x:v>0.6</x:v>
      </x:c>
      <x:c r="G54" s="28" t="n">
        <x:f>E54*F54</x:f>
        <x:v>0.6</x:v>
      </x:c>
      <x:c r="H54" s="28" t="n">
        <x:f>G54/16</x:f>
        <x:v>0.0375</x:v>
      </x:c>
      <x:c r="I54" s="26" t="str">
        <x:v>Yes</x:v>
      </x:c>
      <x:c r="J54" s="26" t="str">
        <x:v>Me</x:v>
      </x:c>
      <x:c r="K54" s="26" t="str">
        <x:v>No</x:v>
      </x:c>
      <x:c r="L54" s="28" t="n">
        <x:v>1</x:v>
      </x:c>
      <x:c r="M54" s="28" t="n">
        <x:f>IF(I54="No",0,IF(K54="Yes",G54/MAX(1,L54),IF(J54="Me",G54,0)))</x:f>
        <x:v>0.6</x:v>
      </x:c>
      <x:c r="N54" s="28" t="n">
        <x:f>M54/16</x:f>
        <x:v>0.0375</x:v>
      </x:c>
      <x:c r="O54" s="26" t="str">
        <x:v>Must-have</x:v>
      </x:c>
      <x:c r="P54" s="26" t="str">
        <x:v>Backpack</x:v>
      </x:c>
      <x:c r="Q54" s="26" t="str">
        <x:v>Need</x:v>
      </x:c>
      <x:c r="R54" s="26" t="str">
        <x:v>For catholes where allowed.</x:v>
      </x:c>
    </x:row>
    <x:row r="55">
      <x:c r="A55" s="26" t="str">
        <x:v>☐</x:v>
      </x:c>
      <x:c r="B55" s="26" t="str">
        <x:v>Hygiene/Waste</x:v>
      </x:c>
      <x:c r="C55" s="26" t="str">
        <x:v>Toilet paper</x:v>
      </x:c>
      <x:c r="D55" s="26" t="str">
        <x:v>Zip-bagged</x:v>
      </x:c>
      <x:c r="E55" s="28" t="n">
        <x:v>1</x:v>
      </x:c>
      <x:c r="F55" s="28" t="n">
        <x:v>3</x:v>
      </x:c>
      <x:c r="G55" s="28" t="n">
        <x:f>E55*F55</x:f>
        <x:v>3</x:v>
      </x:c>
      <x:c r="H55" s="28" t="n">
        <x:f>G55/16</x:f>
        <x:v>0.1875</x:v>
      </x:c>
      <x:c r="I55" s="26" t="str">
        <x:v>Yes</x:v>
      </x:c>
      <x:c r="J55" s="26" t="str">
        <x:v>Me</x:v>
      </x:c>
      <x:c r="K55" s="26" t="str">
        <x:v>No</x:v>
      </x:c>
      <x:c r="L55" s="28" t="n">
        <x:v>1</x:v>
      </x:c>
      <x:c r="M55" s="28" t="n">
        <x:f>IF(I55="No",0,IF(K55="Yes",G55/MAX(1,L55),IF(J55="Me",G55,0)))</x:f>
        <x:v>3</x:v>
      </x:c>
      <x:c r="N55" s="28" t="n">
        <x:f>M55/16</x:f>
        <x:v>0.1875</x:v>
      </x:c>
      <x:c r="O55" s="26" t="str">
        <x:v>Must-have</x:v>
      </x:c>
      <x:c r="P55" s="26" t="str">
        <x:v>Backpack</x:v>
      </x:c>
      <x:c r="Q55" s="26" t="str">
        <x:v>Need</x:v>
      </x:c>
      <x:c r="R55" s="26" t="str">
        <x:v>Pack out used paper if required.</x:v>
      </x:c>
    </x:row>
    <x:row r="56">
      <x:c r="A56" s="26" t="str">
        <x:v>☐</x:v>
      </x:c>
      <x:c r="B56" s="26" t="str">
        <x:v>Hygiene/Waste</x:v>
      </x:c>
      <x:c r="C56" s="26" t="str">
        <x:v>Wipes</x:v>
      </x:c>
      <x:c r="D56" s="26" t="str">
        <x:v>Small pack</x:v>
      </x:c>
      <x:c r="E56" s="28" t="n">
        <x:v>1</x:v>
      </x:c>
      <x:c r="F56" s="28" t="n">
        <x:v>5</x:v>
      </x:c>
      <x:c r="G56" s="28" t="n">
        <x:f>E56*F56</x:f>
        <x:v>5</x:v>
      </x:c>
      <x:c r="H56" s="28" t="n">
        <x:f>G56/16</x:f>
        <x:v>0.3125</x:v>
      </x:c>
      <x:c r="I56" s="26" t="str">
        <x:v>Yes</x:v>
      </x:c>
      <x:c r="J56" s="26" t="str">
        <x:v>Me</x:v>
      </x:c>
      <x:c r="K56" s="26" t="str">
        <x:v>No</x:v>
      </x:c>
      <x:c r="L56" s="28" t="n">
        <x:v>1</x:v>
      </x:c>
      <x:c r="M56" s="28" t="n">
        <x:f>IF(I56="No",0,IF(K56="Yes",G56/MAX(1,L56),IF(J56="Me",G56,0)))</x:f>
        <x:v>5</x:v>
      </x:c>
      <x:c r="N56" s="28" t="n">
        <x:f>M56/16</x:f>
        <x:v>0.3125</x:v>
      </x:c>
      <x:c r="O56" s="26" t="str">
        <x:v>Nice-to-have</x:v>
      </x:c>
      <x:c r="P56" s="26" t="str">
        <x:v>Backpack</x:v>
      </x:c>
      <x:c r="Q56" s="26" t="str">
        <x:v>Need</x:v>
      </x:c>
      <x:c r="R56" s="26" t="str">
        <x:v>Pack out all wipes.</x:v>
      </x:c>
    </x:row>
    <x:row r="57">
      <x:c r="A57" s="26" t="str">
        <x:v>☐</x:v>
      </x:c>
      <x:c r="B57" s="26" t="str">
        <x:v>Hygiene/Waste</x:v>
      </x:c>
      <x:c r="C57" s="26" t="str">
        <x:v>Hand sanitizer</x:v>
      </x:c>
      <x:c r="D57" s="26" t="str">
        <x:v>Small bottle</x:v>
      </x:c>
      <x:c r="E57" s="28" t="n">
        <x:v>1</x:v>
      </x:c>
      <x:c r="F57" s="28" t="n">
        <x:v>2</x:v>
      </x:c>
      <x:c r="G57" s="28" t="n">
        <x:f>E57*F57</x:f>
        <x:v>2</x:v>
      </x:c>
      <x:c r="H57" s="28" t="n">
        <x:f>G57/16</x:f>
        <x:v>0.125</x:v>
      </x:c>
      <x:c r="I57" s="26" t="str">
        <x:v>Yes</x:v>
      </x:c>
      <x:c r="J57" s="26" t="str">
        <x:v>Me</x:v>
      </x:c>
      <x:c r="K57" s="26" t="str">
        <x:v>No</x:v>
      </x:c>
      <x:c r="L57" s="28" t="n">
        <x:v>1</x:v>
      </x:c>
      <x:c r="M57" s="28" t="n">
        <x:f>IF(I57="No",0,IF(K57="Yes",G57/MAX(1,L57),IF(J57="Me",G57,0)))</x:f>
        <x:v>2</x:v>
      </x:c>
      <x:c r="N57" s="28" t="n">
        <x:f>M57/16</x:f>
        <x:v>0.125</x:v>
      </x:c>
      <x:c r="O57" s="26" t="str">
        <x:v>Must-have</x:v>
      </x:c>
      <x:c r="P57" s="26" t="str">
        <x:v>Backpack</x:v>
      </x:c>
      <x:c r="Q57" s="26" t="str">
        <x:v>Need</x:v>
      </x:c>
      <x:c r="R57" s="26" t="str">
        <x:v>Before eating and after bathroom.</x:v>
      </x:c>
    </x:row>
    <x:row r="58">
      <x:c r="A58" s="26" t="str">
        <x:v>☐</x:v>
      </x:c>
      <x:c r="B58" s="26" t="str">
        <x:v>Hygiene/Waste</x:v>
      </x:c>
      <x:c r="C58" s="26" t="str">
        <x:v>Biodegradable soap</x:v>
      </x:c>
      <x:c r="D58" s="26" t="str">
        <x:v>Small bottle</x:v>
      </x:c>
      <x:c r="E58" s="28" t="n">
        <x:v>1</x:v>
      </x:c>
      <x:c r="F58" s="28" t="n">
        <x:v>1.5</x:v>
      </x:c>
      <x:c r="G58" s="28" t="n">
        <x:f>E58*F58</x:f>
        <x:v>1.5</x:v>
      </x:c>
      <x:c r="H58" s="28" t="n">
        <x:f>G58/16</x:f>
        <x:v>0.09375</x:v>
      </x:c>
      <x:c r="I58" s="26" t="str">
        <x:v>Yes</x:v>
      </x:c>
      <x:c r="J58" s="26" t="str">
        <x:v>Shared</x:v>
      </x:c>
      <x:c r="K58" s="26" t="str">
        <x:v>Yes</x:v>
      </x:c>
      <x:c r="L58" s="28" t="n">
        <x:v>2</x:v>
      </x:c>
      <x:c r="M58" s="28" t="n">
        <x:f>IF(I58="No",0,IF(K58="Yes",G58/MAX(1,L58),IF(J58="Me",G58,0)))</x:f>
        <x:v>0.75</x:v>
      </x:c>
      <x:c r="N58" s="28" t="n">
        <x:f>M58/16</x:f>
        <x:v>0.046875</x:v>
      </x:c>
      <x:c r="O58" s="26" t="str">
        <x:v>Nice-to-have</x:v>
      </x:c>
      <x:c r="P58" s="26" t="str">
        <x:v>Shared tote</x:v>
      </x:c>
      <x:c r="Q58" s="26" t="str">
        <x:v>Need</x:v>
      </x:c>
      <x:c r="R58" s="26" t="str">
        <x:v>Use away from water sources.</x:v>
      </x:c>
    </x:row>
    <x:row r="59">
      <x:c r="A59" s="26" t="str">
        <x:v>☐</x:v>
      </x:c>
      <x:c r="B59" s="26" t="str">
        <x:v>Hygiene/Waste</x:v>
      </x:c>
      <x:c r="C59" s="26" t="str">
        <x:v>Trash bags / zip bags</x:v>
      </x:c>
      <x:c r="D59" s="26" t="str">
        <x:v>Heavy-duty bags and freezer bags</x:v>
      </x:c>
      <x:c r="E59" s="28" t="n">
        <x:v>1</x:v>
      </x:c>
      <x:c r="F59" s="28" t="n">
        <x:v>3</x:v>
      </x:c>
      <x:c r="G59" s="28" t="n">
        <x:f>E59*F59</x:f>
        <x:v>3</x:v>
      </x:c>
      <x:c r="H59" s="28" t="n">
        <x:f>G59/16</x:f>
        <x:v>0.1875</x:v>
      </x:c>
      <x:c r="I59" s="26" t="str">
        <x:v>Yes</x:v>
      </x:c>
      <x:c r="J59" s="26" t="str">
        <x:v>Shared</x:v>
      </x:c>
      <x:c r="K59" s="26" t="str">
        <x:v>Yes</x:v>
      </x:c>
      <x:c r="L59" s="28" t="n">
        <x:v>2</x:v>
      </x:c>
      <x:c r="M59" s="28" t="n">
        <x:f>IF(I59="No",0,IF(K59="Yes",G59/MAX(1,L59),IF(J59="Me",G59,0)))</x:f>
        <x:v>1.5</x:v>
      </x:c>
      <x:c r="N59" s="28" t="n">
        <x:f>M59/16</x:f>
        <x:v>0.09375</x:v>
      </x:c>
      <x:c r="O59" s="26" t="str">
        <x:v>Must-have</x:v>
      </x:c>
      <x:c r="P59" s="26" t="str">
        <x:v>Shared tote</x:v>
      </x:c>
      <x:c r="Q59" s="26" t="str">
        <x:v>Need</x:v>
      </x:c>
      <x:c r="R59" s="26" t="str">
        <x:v>Pack in/pack out.</x:v>
      </x:c>
    </x:row>
    <x:row r="60">
      <x:c r="A60" s="26" t="str">
        <x:v>☐</x:v>
      </x:c>
      <x:c r="B60" s="26" t="str">
        <x:v>Hygiene/Waste</x:v>
      </x:c>
      <x:c r="C60" s="26" t="str">
        <x:v>Microfiber towel</x:v>
      </x:c>
      <x:c r="D60" s="26" t="str">
        <x:v>Small camp towel</x:v>
      </x:c>
      <x:c r="E60" s="28" t="n">
        <x:v>1</x:v>
      </x:c>
      <x:c r="F60" s="28" t="n">
        <x:v>3</x:v>
      </x:c>
      <x:c r="G60" s="28" t="n">
        <x:f>E60*F60</x:f>
        <x:v>3</x:v>
      </x:c>
      <x:c r="H60" s="28" t="n">
        <x:f>G60/16</x:f>
        <x:v>0.1875</x:v>
      </x:c>
      <x:c r="I60" s="26" t="str">
        <x:v>Yes</x:v>
      </x:c>
      <x:c r="J60" s="26" t="str">
        <x:v>Me</x:v>
      </x:c>
      <x:c r="K60" s="26" t="str">
        <x:v>No</x:v>
      </x:c>
      <x:c r="L60" s="28" t="n">
        <x:v>1</x:v>
      </x:c>
      <x:c r="M60" s="28" t="n">
        <x:f>IF(I60="No",0,IF(K60="Yes",G60/MAX(1,L60),IF(J60="Me",G60,0)))</x:f>
        <x:v>3</x:v>
      </x:c>
      <x:c r="N60" s="28" t="n">
        <x:f>M60/16</x:f>
        <x:v>0.1875</x:v>
      </x:c>
      <x:c r="O60" s="26" t="str">
        <x:v>Nice-to-have</x:v>
      </x:c>
      <x:c r="P60" s="26" t="str">
        <x:v>Backpack</x:v>
      </x:c>
      <x:c r="Q60" s="26" t="str">
        <x:v>Need</x:v>
      </x:c>
      <x:c r="R60" s="26" t="str">
        <x:v>Feet/gear cleanup.</x:v>
      </x:c>
    </x:row>
    <x:row r="61">
      <x:c r="A61" s="26" t="str">
        <x:v>☐</x:v>
      </x:c>
      <x:c r="B61" s="26" t="str">
        <x:v>Prospecting Supplies</x:v>
      </x:c>
      <x:c r="C61" s="26" t="str">
        <x:v>Gold pan</x:v>
      </x:c>
      <x:c r="D61" s="26" t="str">
        <x:v>Garrett / Minelab / Stansport pan</x:v>
      </x:c>
      <x:c r="E61" s="28" t="n">
        <x:v>1</x:v>
      </x:c>
      <x:c r="F61" s="28" t="n">
        <x:v>14</x:v>
      </x:c>
      <x:c r="G61" s="28" t="n">
        <x:f>E61*F61</x:f>
        <x:v>14</x:v>
      </x:c>
      <x:c r="H61" s="28" t="n">
        <x:f>G61/16</x:f>
        <x:v>0.875</x:v>
      </x:c>
      <x:c r="I61" s="26" t="str">
        <x:v>No</x:v>
      </x:c>
      <x:c r="J61" s="26" t="str">
        <x:v>Me</x:v>
      </x:c>
      <x:c r="K61" s="26" t="str">
        <x:v>No</x:v>
      </x:c>
      <x:c r="L61" s="28" t="n">
        <x:v>1</x:v>
      </x:c>
      <x:c r="M61" s="28" t="n">
        <x:f>IF(I61="No",0,IF(K61="Yes",G61/MAX(1,L61),IF(J61="Me",G61,0)))</x:f>
        <x:v>0</x:v>
      </x:c>
      <x:c r="N61" s="28" t="n">
        <x:f>M61/16</x:f>
        <x:v>0</x:v>
      </x:c>
      <x:c r="O61" s="26" t="str">
        <x:v>Must-have</x:v>
      </x:c>
      <x:c r="P61" s="26" t="str">
        <x:v>Creek kit</x:v>
      </x:c>
      <x:c r="Q61" s="26" t="str">
        <x:v>Need</x:v>
      </x:c>
      <x:c r="R61" s="26" t="str">
        <x:v>Creek kit, not sleeping pack.</x:v>
      </x:c>
    </x:row>
    <x:row r="62">
      <x:c r="A62" s="26" t="str">
        <x:v>☐</x:v>
      </x:c>
      <x:c r="B62" s="26" t="str">
        <x:v>Prospecting Supplies</x:v>
      </x:c>
      <x:c r="C62" s="26" t="str">
        <x:v>Classifier</x:v>
      </x:c>
      <x:c r="D62" s="26" t="str">
        <x:v>1/4 or 1/2 inch classifier</x:v>
      </x:c>
      <x:c r="E62" s="28" t="n">
        <x:v>1</x:v>
      </x:c>
      <x:c r="F62" s="28" t="n">
        <x:v>16</x:v>
      </x:c>
      <x:c r="G62" s="28" t="n">
        <x:f>E62*F62</x:f>
        <x:v>16</x:v>
      </x:c>
      <x:c r="H62" s="28" t="n">
        <x:f>G62/16</x:f>
        <x:v>1</x:v>
      </x:c>
      <x:c r="I62" s="26" t="str">
        <x:v>No</x:v>
      </x:c>
      <x:c r="J62" s="26" t="str">
        <x:v>Shared</x:v>
      </x:c>
      <x:c r="K62" s="26" t="str">
        <x:v>Yes</x:v>
      </x:c>
      <x:c r="L62" s="28" t="n">
        <x:v>2</x:v>
      </x:c>
      <x:c r="M62" s="28" t="n">
        <x:f>IF(I62="No",0,IF(K62="Yes",G62/MAX(1,L62),IF(J62="Me",G62,0)))</x:f>
        <x:v>0</x:v>
      </x:c>
      <x:c r="N62" s="28" t="n">
        <x:f>M62/16</x:f>
        <x:v>0</x:v>
      </x:c>
      <x:c r="O62" s="26" t="str">
        <x:v>Must-have</x:v>
      </x:c>
      <x:c r="P62" s="26" t="str">
        <x:v>Creek kit</x:v>
      </x:c>
      <x:c r="Q62" s="26" t="str">
        <x:v>Need</x:v>
      </x:c>
      <x:c r="R62" s="26" t="str">
        <x:v>Likely split between people.</x:v>
      </x:c>
    </x:row>
    <x:row r="63">
      <x:c r="A63" s="26" t="str">
        <x:v>☐</x:v>
      </x:c>
      <x:c r="B63" s="26" t="str">
        <x:v>Prospecting Supplies</x:v>
      </x:c>
      <x:c r="C63" s="26" t="str">
        <x:v>Snuffer bottle</x:v>
      </x:c>
      <x:c r="D63" s="26" t="str">
        <x:v>Generic snuffer bottle</x:v>
      </x:c>
      <x:c r="E63" s="28" t="n">
        <x:v>1</x:v>
      </x:c>
      <x:c r="F63" s="28" t="n">
        <x:v>1.5</x:v>
      </x:c>
      <x:c r="G63" s="28" t="n">
        <x:f>E63*F63</x:f>
        <x:v>1.5</x:v>
      </x:c>
      <x:c r="H63" s="28" t="n">
        <x:f>G63/16</x:f>
        <x:v>0.09375</x:v>
      </x:c>
      <x:c r="I63" s="26" t="str">
        <x:v>No</x:v>
      </x:c>
      <x:c r="J63" s="26" t="str">
        <x:v>Me</x:v>
      </x:c>
      <x:c r="K63" s="26" t="str">
        <x:v>No</x:v>
      </x:c>
      <x:c r="L63" s="28" t="n">
        <x:v>1</x:v>
      </x:c>
      <x:c r="M63" s="28" t="n">
        <x:f>IF(I63="No",0,IF(K63="Yes",G63/MAX(1,L63),IF(J63="Me",G63,0)))</x:f>
        <x:v>0</x:v>
      </x:c>
      <x:c r="N63" s="28" t="n">
        <x:f>M63/16</x:f>
        <x:v>0</x:v>
      </x:c>
      <x:c r="O63" s="26" t="str">
        <x:v>Must-have</x:v>
      </x:c>
      <x:c r="P63" s="26" t="str">
        <x:v>Creek kit</x:v>
      </x:c>
      <x:c r="Q63" s="26" t="str">
        <x:v>Need</x:v>
      </x:c>
      <x:c r="R63" s="26" t="str">
        <x:v>For fines.</x:v>
      </x:c>
    </x:row>
    <x:row r="64">
      <x:c r="A64" s="26" t="str">
        <x:v>☐</x:v>
      </x:c>
      <x:c r="B64" s="26" t="str">
        <x:v>Prospecting Supplies</x:v>
      </x:c>
      <x:c r="C64" s="26" t="str">
        <x:v>Gold vials</x:v>
      </x:c>
      <x:c r="D64" s="26" t="str">
        <x:v>Small plastic vials</x:v>
      </x:c>
      <x:c r="E64" s="28" t="n">
        <x:v>2</x:v>
      </x:c>
      <x:c r="F64" s="28" t="n">
        <x:v>0.25</x:v>
      </x:c>
      <x:c r="G64" s="28" t="n">
        <x:f>E64*F64</x:f>
        <x:v>0.5</x:v>
      </x:c>
      <x:c r="H64" s="28" t="n">
        <x:f>G64/16</x:f>
        <x:v>0.03125</x:v>
      </x:c>
      <x:c r="I64" s="26" t="str">
        <x:v>No</x:v>
      </x:c>
      <x:c r="J64" s="26" t="str">
        <x:v>Me</x:v>
      </x:c>
      <x:c r="K64" s="26" t="str">
        <x:v>No</x:v>
      </x:c>
      <x:c r="L64" s="28" t="n">
        <x:v>1</x:v>
      </x:c>
      <x:c r="M64" s="28" t="n">
        <x:f>IF(I64="No",0,IF(K64="Yes",G64/MAX(1,L64),IF(J64="Me",G64,0)))</x:f>
        <x:v>0</x:v>
      </x:c>
      <x:c r="N64" s="28" t="n">
        <x:f>M64/16</x:f>
        <x:v>0</x:v>
      </x:c>
      <x:c r="O64" s="26" t="str">
        <x:v>Must-have</x:v>
      </x:c>
      <x:c r="P64" s="26" t="str">
        <x:v>Creek kit</x:v>
      </x:c>
      <x:c r="Q64" s="26" t="str">
        <x:v>Need</x:v>
      </x:c>
      <x:c r="R64" s="26" t="str">
        <x:v>Gold storage.</x:v>
      </x:c>
    </x:row>
    <x:row r="65">
      <x:c r="A65" s="26" t="str">
        <x:v>☐</x:v>
      </x:c>
      <x:c r="B65" s="26" t="str">
        <x:v>Prospecting Supplies</x:v>
      </x:c>
      <x:c r="C65" s="26" t="str">
        <x:v>Crevice tool</x:v>
      </x:c>
      <x:c r="D65" s="26" t="str">
        <x:v>Hand crevice tool</x:v>
      </x:c>
      <x:c r="E65" s="28" t="n">
        <x:v>1</x:v>
      </x:c>
      <x:c r="F65" s="28" t="n">
        <x:v>4</x:v>
      </x:c>
      <x:c r="G65" s="28" t="n">
        <x:f>E65*F65</x:f>
        <x:v>4</x:v>
      </x:c>
      <x:c r="H65" s="28" t="n">
        <x:f>G65/16</x:f>
        <x:v>0.25</x:v>
      </x:c>
      <x:c r="I65" s="26" t="str">
        <x:v>No</x:v>
      </x:c>
      <x:c r="J65" s="26" t="str">
        <x:v>Me</x:v>
      </x:c>
      <x:c r="K65" s="26" t="str">
        <x:v>No</x:v>
      </x:c>
      <x:c r="L65" s="28" t="n">
        <x:v>1</x:v>
      </x:c>
      <x:c r="M65" s="28" t="n">
        <x:f>IF(I65="No",0,IF(K65="Yes",G65/MAX(1,L65),IF(J65="Me",G65,0)))</x:f>
        <x:v>0</x:v>
      </x:c>
      <x:c r="N65" s="28" t="n">
        <x:f>M65/16</x:f>
        <x:v>0</x:v>
      </x:c>
      <x:c r="O65" s="26" t="str">
        <x:v>Must-have</x:v>
      </x:c>
      <x:c r="P65" s="26" t="str">
        <x:v>Creek kit</x:v>
      </x:c>
      <x:c r="Q65" s="26" t="str">
        <x:v>Need</x:v>
      </x:c>
      <x:c r="R65" s="26" t="str">
        <x:v>Hand tools only.</x:v>
      </x:c>
    </x:row>
    <x:row r="66">
      <x:c r="A66" s="26" t="str">
        <x:v>☐</x:v>
      </x:c>
      <x:c r="B66" s="26" t="str">
        <x:v>Prospecting Supplies</x:v>
      </x:c>
      <x:c r="C66" s="26" t="str">
        <x:v>Small hand trowel/shovel</x:v>
      </x:c>
      <x:c r="D66" s="26" t="str">
        <x:v>Fiskars trowel or similar</x:v>
      </x:c>
      <x:c r="E66" s="28" t="n">
        <x:v>1</x:v>
      </x:c>
      <x:c r="F66" s="28" t="n">
        <x:v>8</x:v>
      </x:c>
      <x:c r="G66" s="28" t="n">
        <x:f>E66*F66</x:f>
        <x:v>8</x:v>
      </x:c>
      <x:c r="H66" s="28" t="n">
        <x:f>G66/16</x:f>
        <x:v>0.5</x:v>
      </x:c>
      <x:c r="I66" s="26" t="str">
        <x:v>No</x:v>
      </x:c>
      <x:c r="J66" s="26" t="str">
        <x:v>Shared</x:v>
      </x:c>
      <x:c r="K66" s="26" t="str">
        <x:v>Yes</x:v>
      </x:c>
      <x:c r="L66" s="28" t="n">
        <x:v>2</x:v>
      </x:c>
      <x:c r="M66" s="28" t="n">
        <x:f>IF(I66="No",0,IF(K66="Yes",G66/MAX(1,L66),IF(J66="Me",G66,0)))</x:f>
        <x:v>0</x:v>
      </x:c>
      <x:c r="N66" s="28" t="n">
        <x:f>M66/16</x:f>
        <x:v>0</x:v>
      </x:c>
      <x:c r="O66" s="26" t="str">
        <x:v>Must-have</x:v>
      </x:c>
      <x:c r="P66" s="26" t="str">
        <x:v>Creek kit</x:v>
      </x:c>
      <x:c r="Q66" s="26" t="str">
        <x:v>Need</x:v>
      </x:c>
      <x:c r="R66" s="26" t="str">
        <x:v>Likely split between people.</x:v>
      </x:c>
    </x:row>
    <x:row r="67">
      <x:c r="A67" s="26" t="str">
        <x:v>☐</x:v>
      </x:c>
      <x:c r="B67" s="26" t="str">
        <x:v>Prospecting Supplies</x:v>
      </x:c>
      <x:c r="C67" s="26" t="str">
        <x:v>5-gallon bucket</x:v>
      </x:c>
      <x:c r="D67" s="26" t="str">
        <x:v>Standard plastic bucket</x:v>
      </x:c>
      <x:c r="E67" s="28" t="n">
        <x:v>1</x:v>
      </x:c>
      <x:c r="F67" s="28" t="n">
        <x:v>32</x:v>
      </x:c>
      <x:c r="G67" s="28" t="n">
        <x:f>E67*F67</x:f>
        <x:v>32</x:v>
      </x:c>
      <x:c r="H67" s="28" t="n">
        <x:f>G67/16</x:f>
        <x:v>2</x:v>
      </x:c>
      <x:c r="I67" s="26" t="str">
        <x:v>No</x:v>
      </x:c>
      <x:c r="J67" s="26" t="str">
        <x:v>Shared</x:v>
      </x:c>
      <x:c r="K67" s="26" t="str">
        <x:v>Yes</x:v>
      </x:c>
      <x:c r="L67" s="28" t="n">
        <x:v>2</x:v>
      </x:c>
      <x:c r="M67" s="28" t="n">
        <x:f>IF(I67="No",0,IF(K67="Yes",G67/MAX(1,L67),IF(J67="Me",G67,0)))</x:f>
        <x:v>0</x:v>
      </x:c>
      <x:c r="N67" s="28" t="n">
        <x:f>M67/16</x:f>
        <x:v>0</x:v>
      </x:c>
      <x:c r="O67" s="26" t="str">
        <x:v>Must-have</x:v>
      </x:c>
      <x:c r="P67" s="26" t="str">
        <x:v>Vehicle</x:v>
      </x:c>
      <x:c r="Q67" s="26" t="str">
        <x:v>Need</x:v>
      </x:c>
      <x:c r="R67" s="26" t="str">
        <x:v>Vehicle/creek gear; split by group.</x:v>
      </x:c>
    </x:row>
    <x:row r="68">
      <x:c r="A68" s="26" t="str">
        <x:v>☐</x:v>
      </x:c>
      <x:c r="B68" s="26" t="str">
        <x:v>Prospecting Supplies</x:v>
      </x:c>
      <x:c r="C68" s="26" t="str">
        <x:v>Folding shovel</x:v>
      </x:c>
      <x:c r="D68" s="26" t="str">
        <x:v>Entrenching/folding shovel</x:v>
      </x:c>
      <x:c r="E68" s="28" t="n">
        <x:v>1</x:v>
      </x:c>
      <x:c r="F68" s="28" t="n">
        <x:v>32</x:v>
      </x:c>
      <x:c r="G68" s="28" t="n">
        <x:f>E68*F68</x:f>
        <x:v>32</x:v>
      </x:c>
      <x:c r="H68" s="28" t="n">
        <x:f>G68/16</x:f>
        <x:v>2</x:v>
      </x:c>
      <x:c r="I68" s="26" t="str">
        <x:v>No</x:v>
      </x:c>
      <x:c r="J68" s="26" t="str">
        <x:v>Shared</x:v>
      </x:c>
      <x:c r="K68" s="26" t="str">
        <x:v>Yes</x:v>
      </x:c>
      <x:c r="L68" s="28" t="n">
        <x:v>2</x:v>
      </x:c>
      <x:c r="M68" s="28" t="n">
        <x:f>IF(I68="No",0,IF(K68="Yes",G68/MAX(1,L68),IF(J68="Me",G68,0)))</x:f>
        <x:v>0</x:v>
      </x:c>
      <x:c r="N68" s="28" t="n">
        <x:f>M68/16</x:f>
        <x:v>0</x:v>
      </x:c>
      <x:c r="O68" s="26" t="str">
        <x:v>Optional</x:v>
      </x:c>
      <x:c r="P68" s="26" t="str">
        <x:v>Vehicle</x:v>
      </x:c>
      <x:c r="Q68" s="26" t="str">
        <x:v>Need</x:v>
      </x:c>
      <x:c r="R68" s="26" t="str">
        <x:v>Only if allowed/needed; don't over-dig.</x:v>
      </x:c>
    </x:row>
    <x:row r="69">
      <x:c r="A69" s="26" t="str">
        <x:v>☐</x:v>
      </x:c>
      <x:c r="B69" s="26" t="str">
        <x:v>Prospecting Supplies</x:v>
      </x:c>
      <x:c r="C69" s="26" t="str">
        <x:v>Knee pad</x:v>
      </x:c>
      <x:c r="D69" s="26" t="str">
        <x:v>Foam kneeling pad</x:v>
      </x:c>
      <x:c r="E69" s="28" t="n">
        <x:v>1</x:v>
      </x:c>
      <x:c r="F69" s="28" t="n">
        <x:v>5</x:v>
      </x:c>
      <x:c r="G69" s="28" t="n">
        <x:f>E69*F69</x:f>
        <x:v>5</x:v>
      </x:c>
      <x:c r="H69" s="28" t="n">
        <x:f>G69/16</x:f>
        <x:v>0.3125</x:v>
      </x:c>
      <x:c r="I69" s="26" t="str">
        <x:v>No</x:v>
      </x:c>
      <x:c r="J69" s="26" t="str">
        <x:v>Me</x:v>
      </x:c>
      <x:c r="K69" s="26" t="str">
        <x:v>No</x:v>
      </x:c>
      <x:c r="L69" s="28" t="n">
        <x:v>1</x:v>
      </x:c>
      <x:c r="M69" s="28" t="n">
        <x:f>IF(I69="No",0,IF(K69="Yes",G69/MAX(1,L69),IF(J69="Me",G69,0)))</x:f>
        <x:v>0</x:v>
      </x:c>
      <x:c r="N69" s="28" t="n">
        <x:f>M69/16</x:f>
        <x:v>0</x:v>
      </x:c>
      <x:c r="O69" s="26" t="str">
        <x:v>Nice-to-have</x:v>
      </x:c>
      <x:c r="P69" s="26" t="str">
        <x:v>Creek kit</x:v>
      </x:c>
      <x:c r="Q69" s="26" t="str">
        <x:v>Need</x:v>
      </x:c>
      <x:c r="R69" s="26" t="str">
        <x:v>Comfort while working gravel.</x:v>
      </x:c>
    </x:row>
    <x:row r="70">
      <x:c r="A70" s="26" t="str">
        <x:v>☐</x:v>
      </x:c>
      <x:c r="B70" s="26" t="str">
        <x:v>Prospecting Supplies</x:v>
      </x:c>
      <x:c r="C70" s="26" t="str">
        <x:v>Mesh bag / wet gear tote</x:v>
      </x:c>
      <x:c r="D70" s="26" t="str">
        <x:v>Mesh duffel or plastic tote</x:v>
      </x:c>
      <x:c r="E70" s="28" t="n">
        <x:v>1</x:v>
      </x:c>
      <x:c r="F70" s="28" t="n">
        <x:v>8</x:v>
      </x:c>
      <x:c r="G70" s="28" t="n">
        <x:f>E70*F70</x:f>
        <x:v>8</x:v>
      </x:c>
      <x:c r="H70" s="28" t="n">
        <x:f>G70/16</x:f>
        <x:v>0.5</x:v>
      </x:c>
      <x:c r="I70" s="26" t="str">
        <x:v>No</x:v>
      </x:c>
      <x:c r="J70" s="26" t="str">
        <x:v>Shared</x:v>
      </x:c>
      <x:c r="K70" s="26" t="str">
        <x:v>Yes</x:v>
      </x:c>
      <x:c r="L70" s="28" t="n">
        <x:v>2</x:v>
      </x:c>
      <x:c r="M70" s="28" t="n">
        <x:f>IF(I70="No",0,IF(K70="Yes",G70/MAX(1,L70),IF(J70="Me",G70,0)))</x:f>
        <x:v>0</x:v>
      </x:c>
      <x:c r="N70" s="28" t="n">
        <x:f>M70/16</x:f>
        <x:v>0</x:v>
      </x:c>
      <x:c r="O70" s="26" t="str">
        <x:v>Must-have</x:v>
      </x:c>
      <x:c r="P70" s="26" t="str">
        <x:v>Vehicle</x:v>
      </x:c>
      <x:c r="Q70" s="26" t="str">
        <x:v>Need</x:v>
      </x:c>
      <x:c r="R70" s="26" t="str">
        <x:v>Keep wet creek gear separate.</x:v>
      </x:c>
    </x:row>
    <x:row r="71">
      <x:c r="A71" s="26" t="str">
        <x:v>☐</x:v>
      </x:c>
      <x:c r="B71" s="26" t="str">
        <x:v>Vehicle Cache</x:v>
      </x:c>
      <x:c r="C71" s="26" t="str">
        <x:v>Extra water in vehicle</x:v>
      </x:c>
      <x:c r="D71" s="26" t="str">
        <x:v>1 gallon jug</x:v>
      </x:c>
      <x:c r="E71" s="28" t="n">
        <x:v>2</x:v>
      </x:c>
      <x:c r="F71" s="28" t="n">
        <x:v>133</x:v>
      </x:c>
      <x:c r="G71" s="28" t="n">
        <x:f>E71*F71</x:f>
        <x:v>266</x:v>
      </x:c>
      <x:c r="H71" s="28" t="n">
        <x:f>G71/16</x:f>
        <x:v>16.625</x:v>
      </x:c>
      <x:c r="I71" s="26" t="str">
        <x:v>No</x:v>
      </x:c>
      <x:c r="J71" s="26" t="str">
        <x:v>Shared</x:v>
      </x:c>
      <x:c r="K71" s="26" t="str">
        <x:v>Yes</x:v>
      </x:c>
      <x:c r="L71" s="28" t="n">
        <x:v>2</x:v>
      </x:c>
      <x:c r="M71" s="28" t="n">
        <x:f>IF(I71="No",0,IF(K71="Yes",G71/MAX(1,L71),IF(J71="Me",G71,0)))</x:f>
        <x:v>0</x:v>
      </x:c>
      <x:c r="N71" s="28" t="n">
        <x:f>M71/16</x:f>
        <x:v>0</x:v>
      </x:c>
      <x:c r="O71" s="26" t="str">
        <x:v>Must-have</x:v>
      </x:c>
      <x:c r="P71" s="26" t="str">
        <x:v>Vehicle</x:v>
      </x:c>
      <x:c r="Q71" s="26" t="str">
        <x:v>Need</x:v>
      </x:c>
      <x:c r="R71" s="26" t="str">
        <x:v>Vehicle cache only; weight excluded from carry.</x:v>
      </x:c>
    </x:row>
    <x:row r="72">
      <x:c r="A72" s="26" t="str">
        <x:v>☐</x:v>
      </x:c>
      <x:c r="B72" s="26" t="str">
        <x:v>Vehicle Cache</x:v>
      </x:c>
      <x:c r="C72" s="26" t="str">
        <x:v>Full dry clothing backup</x:v>
      </x:c>
      <x:c r="D72" s="26" t="str">
        <x:v>Extra outfit in vehicle</x:v>
      </x:c>
      <x:c r="E72" s="28" t="n">
        <x:v>1</x:v>
      </x:c>
      <x:c r="F72" s="28" t="n">
        <x:v>32</x:v>
      </x:c>
      <x:c r="G72" s="28" t="n">
        <x:f>E72*F72</x:f>
        <x:v>32</x:v>
      </x:c>
      <x:c r="H72" s="28" t="n">
        <x:f>G72/16</x:f>
        <x:v>2</x:v>
      </x:c>
      <x:c r="I72" s="26" t="str">
        <x:v>No</x:v>
      </x:c>
      <x:c r="J72" s="26" t="str">
        <x:v>Me</x:v>
      </x:c>
      <x:c r="K72" s="26" t="str">
        <x:v>No</x:v>
      </x:c>
      <x:c r="L72" s="28" t="n">
        <x:v>1</x:v>
      </x:c>
      <x:c r="M72" s="28" t="n">
        <x:f>IF(I72="No",0,IF(K72="Yes",G72/MAX(1,L72),IF(J72="Me",G72,0)))</x:f>
        <x:v>0</x:v>
      </x:c>
      <x:c r="N72" s="28" t="n">
        <x:f>M72/16</x:f>
        <x:v>0</x:v>
      </x:c>
      <x:c r="O72" s="26" t="str">
        <x:v>Must-have</x:v>
      </x:c>
      <x:c r="P72" s="26" t="str">
        <x:v>Vehicle</x:v>
      </x:c>
      <x:c r="Q72" s="26" t="str">
        <x:v>Need</x:v>
      </x:c>
      <x:c r="R72" s="26" t="str">
        <x:v>Emergency comfort/safety.</x:v>
      </x:c>
    </x:row>
    <x:row r="73">
      <x:c r="A73" s="26" t="str">
        <x:v>☐</x:v>
      </x:c>
      <x:c r="B73" s="26" t="str">
        <x:v>Vehicle Cache</x:v>
      </x:c>
      <x:c r="C73" s="26" t="str">
        <x:v>Towel</x:v>
      </x:c>
      <x:c r="D73" s="26" t="str">
        <x:v>Full-size towel</x:v>
      </x:c>
      <x:c r="E73" s="28" t="n">
        <x:v>1</x:v>
      </x:c>
      <x:c r="F73" s="28" t="n">
        <x:v>16</x:v>
      </x:c>
      <x:c r="G73" s="28" t="n">
        <x:f>E73*F73</x:f>
        <x:v>16</x:v>
      </x:c>
      <x:c r="H73" s="28" t="n">
        <x:f>G73/16</x:f>
        <x:v>1</x:v>
      </x:c>
      <x:c r="I73" s="26" t="str">
        <x:v>No</x:v>
      </x:c>
      <x:c r="J73" s="26" t="str">
        <x:v>Me</x:v>
      </x:c>
      <x:c r="K73" s="26" t="str">
        <x:v>No</x:v>
      </x:c>
      <x:c r="L73" s="28" t="n">
        <x:v>1</x:v>
      </x:c>
      <x:c r="M73" s="28" t="n">
        <x:f>IF(I73="No",0,IF(K73="Yes",G73/MAX(1,L73),IF(J73="Me",G73,0)))</x:f>
        <x:v>0</x:v>
      </x:c>
      <x:c r="N73" s="28" t="n">
        <x:f>M73/16</x:f>
        <x:v>0</x:v>
      </x:c>
      <x:c r="O73" s="26" t="str">
        <x:v>Nice-to-have</x:v>
      </x:c>
      <x:c r="P73" s="26" t="str">
        <x:v>Vehicle</x:v>
      </x:c>
      <x:c r="Q73" s="26" t="str">
        <x:v>Need</x:v>
      </x:c>
      <x:c r="R73" s="26" t="str">
        <x:v>After rain/creek.</x:v>
      </x:c>
    </x:row>
    <x:row r="74">
      <x:c r="A74" s="26" t="str">
        <x:v>☐</x:v>
      </x:c>
      <x:c r="B74" s="26" t="str">
        <x:v>Vehicle Cache</x:v>
      </x:c>
      <x:c r="C74" s="26" t="str">
        <x:v>Jump starter / tire inflator</x:v>
      </x:c>
      <x:c r="D74" s="26" t="str">
        <x:v>Vehicle emergency tools</x:v>
      </x:c>
      <x:c r="E74" s="28" t="n">
        <x:v>1</x:v>
      </x:c>
      <x:c r="F74" s="28" t="n">
        <x:v>64</x:v>
      </x:c>
      <x:c r="G74" s="28" t="n">
        <x:f>E74*F74</x:f>
        <x:v>64</x:v>
      </x:c>
      <x:c r="H74" s="28" t="n">
        <x:f>G74/16</x:f>
        <x:v>4</x:v>
      </x:c>
      <x:c r="I74" s="26" t="str">
        <x:v>No</x:v>
      </x:c>
      <x:c r="J74" s="26" t="str">
        <x:v>Shared</x:v>
      </x:c>
      <x:c r="K74" s="26" t="str">
        <x:v>Yes</x:v>
      </x:c>
      <x:c r="L74" s="28" t="n">
        <x:v>2</x:v>
      </x:c>
      <x:c r="M74" s="28" t="n">
        <x:f>IF(I74="No",0,IF(K74="Yes",G74/MAX(1,L74),IF(J74="Me",G74,0)))</x:f>
        <x:v>0</x:v>
      </x:c>
      <x:c r="N74" s="28" t="n">
        <x:f>M74/16</x:f>
        <x:v>0</x:v>
      </x:c>
      <x:c r="O74" s="26" t="str">
        <x:v>Nice-to-have</x:v>
      </x:c>
      <x:c r="P74" s="26" t="str">
        <x:v>Vehicle</x:v>
      </x:c>
      <x:c r="Q74" s="26" t="str">
        <x:v>Need</x:v>
      </x:c>
      <x:c r="R74" s="26" t="str">
        <x:v>Remote road backup; not carried.</x:v>
      </x:c>
    </x:row>
  </x:sheetData>
  <x:mergeCells>
    <x:mergeCell ref="A1:R1"/>
    <x:mergeCell ref="A2:R2"/>
  </x:mergeCells>
  <x:conditionalFormatting sqref="A5:R74">
    <x:cfRule type="expression" dxfId="0" priority="1">
      <x:formula>$A5="☑"</x:formula>
    </x:cfRule>
    <x:cfRule type="expression" dxfId="1" priority="2">
      <x:formula>$Q5="Buy"</x:formula>
    </x:cfRule>
  </x:conditionalFormatting>
  <x:conditionalFormatting sqref="N5:N74">
    <x:cfRule type="dataBar" priority="3">
      <x:dataBar>
        <x:cfvo type="min"/>
        <x:cfvo type="max"/>
        <x:color rgb="14532D"/>
      </x:dataBar>
      <x:extLst>
        <x:ext xmlns:x14="http://schemas.microsoft.com/office/spreadsheetml/2009/9/main" uri="{B025F937-C7B1-47D3-B67F-A62EFF666E3E}">
          <x14:id>{1B54BB53-2E63-3856-4EFE-E3D6B99923E4}</x14:id>
        </x:ext>
      </x:extLst>
    </x:cfRule>
  </x:conditionalFormatting>
  <x:dataValidations count="8">
    <x:dataValidation type="list" sqref="A5:A74">
      <x:formula1>"☐,☑"</x:formula1>
    </x:dataValidation>
    <x:dataValidation type="list" sqref="B5:B74">
      <x:formula1>Lists!$A$2:$A$14</x:formula1>
    </x:dataValidation>
    <x:dataValidation type="list" sqref="I5:I74">
      <x:formula1>"Yes,No"</x:formula1>
    </x:dataValidation>
    <x:dataValidation type="list" sqref="J5:J74">
      <x:formula1>Lists!$C$2:$C$5</x:formula1>
    </x:dataValidation>
    <x:dataValidation type="list" sqref="K5:K74">
      <x:formula1>"Yes,No"</x:formula1>
    </x:dataValidation>
    <x:dataValidation type="list" sqref="O5:O74">
      <x:formula1>Lists!$E$2:$E$4</x:formula1>
    </x:dataValidation>
    <x:dataValidation type="list" sqref="P5:P74">
      <x:formula1>Lists!$F$2:$F$10</x:formula1>
    </x:dataValidation>
    <x:dataValidation type="list" sqref="Q5:Q74">
      <x:formula1>Lists!$B$2:$B$7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b01ba0b1fc4c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B54BB53-2E63-3856-4EFE-E3D6B99923E4}">
            <x14:dataBar gradient="1">
              <x14:cfvo type="min"/>
              <x14:cfvo type="max"/>
              <x14:fillColor rgb="14532D"/>
            </x14:dataBar>
          </x14:cfRule>
          <xm:sqref>N5:N74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1.399999618530273" hidden="0" customWidth="1"/>
    <x:col min="2" max="2" width="5.789999961853027" hidden="0" customWidth="1"/>
    <x:col min="3" max="3" width="6.860000133514404" hidden="0" customWidth="1"/>
    <x:col min="4" max="4" width="5.789999961853027" hidden="0" customWidth="1"/>
    <x:col min="5" max="5" width="10.229999542236328" hidden="0" customWidth="1"/>
    <x:col min="6" max="6" width="10.899999618530273" hidden="0" customWidth="1"/>
  </x:cols>
  <x:sheetData>
    <x:row r="1">
      <x:c r="A1" s="4" t="str">
        <x:v>Categories</x:v>
      </x:c>
      <x:c r="B1" s="4" t="str">
        <x:v>Status</x:v>
      </x:c>
      <x:c r="C1" s="4" t="str">
        <x:v>Owner</x:v>
      </x:c>
      <x:c r="D1" s="4" t="str">
        <x:v>Yes/No</x:v>
      </x:c>
      <x:c r="E1" s="4" t="str">
        <x:v>Priority</x:v>
      </x:c>
      <x:c r="F1" s="4" t="str">
        <x:v>Location</x:v>
      </x:c>
    </x:row>
    <x:row r="2">
      <x:c r="A2" t="str">
        <x:v>Personal Camping Supplies</x:v>
      </x:c>
      <x:c r="B2" t="str">
        <x:v>Need</x:v>
      </x:c>
      <x:c r="C2" t="str">
        <x:v>Me</x:v>
      </x:c>
      <x:c r="D2" t="str">
        <x:v>Yes</x:v>
      </x:c>
      <x:c r="E2" t="str">
        <x:v>Must-have</x:v>
      </x:c>
      <x:c r="F2" t="str">
        <x:v>Backpack</x:v>
      </x:c>
    </x:row>
    <x:row r="3">
      <x:c r="A3" t="str">
        <x:v>Shelter/Sleep</x:v>
      </x:c>
      <x:c r="B3" t="str">
        <x:v>Have</x:v>
      </x:c>
      <x:c r="C3" t="str">
        <x:v>Person 2</x:v>
      </x:c>
      <x:c r="D3" t="str">
        <x:v>No</x:v>
      </x:c>
      <x:c r="E3" t="str">
        <x:v>Nice-to-have</x:v>
      </x:c>
      <x:c r="F3" t="str">
        <x:v>Daypack</x:v>
      </x:c>
    </x:row>
    <x:row r="4">
      <x:c r="A4" t="str">
        <x:v>Water</x:v>
      </x:c>
      <x:c r="B4" t="str">
        <x:v>Borrow</x:v>
      </x:c>
      <x:c r="C4" t="str">
        <x:v>Person 3</x:v>
      </x:c>
      <x:c r="D4"/>
      <x:c r="E4" t="str">
        <x:v>Optional</x:v>
      </x:c>
      <x:c r="F4" t="str">
        <x:v>Vehicle</x:v>
      </x:c>
    </x:row>
    <x:row r="5">
      <x:c r="A5" t="str">
        <x:v>Cooking/Food</x:v>
      </x:c>
      <x:c r="B5" t="str">
        <x:v>Buy</x:v>
      </x:c>
      <x:c r="C5" t="str">
        <x:v>Shared</x:v>
      </x:c>
      <x:c r="D5"/>
      <x:c r="E5"/>
      <x:c r="F5" t="str">
        <x:v>Shared tote</x:v>
      </x:c>
    </x:row>
    <x:row r="6">
      <x:c r="A6" t="str">
        <x:v>Prospecting Supplies</x:v>
      </x:c>
      <x:c r="B6" t="str">
        <x:v>Packed</x:v>
      </x:c>
      <x:c r="C6"/>
      <x:c r="D6"/>
      <x:c r="E6"/>
      <x:c r="F6" t="str">
        <x:v>Bear storage</x:v>
      </x:c>
    </x:row>
    <x:row r="7">
      <x:c r="A7" t="str">
        <x:v>Medical Supplies</x:v>
      </x:c>
      <x:c r="B7" t="str">
        <x:v>Done</x:v>
      </x:c>
      <x:c r="C7"/>
      <x:c r="D7"/>
      <x:c r="E7"/>
      <x:c r="F7" t="str">
        <x:v>Creek kit</x:v>
      </x:c>
    </x:row>
    <x:row r="8">
      <x:c r="A8" t="str">
        <x:v>Fire Supplies</x:v>
      </x:c>
      <x:c r="B8"/>
      <x:c r="C8"/>
      <x:c r="D8"/>
      <x:c r="E8"/>
      <x:c r="F8" t="str">
        <x:v>Camp kitchen</x:v>
      </x:c>
    </x:row>
    <x:row r="9">
      <x:c r="A9" t="str">
        <x:v>Emergency Supplies</x:v>
      </x:c>
      <x:c r="B9"/>
      <x:c r="C9"/>
      <x:c r="D9"/>
      <x:c r="E9"/>
      <x:c r="F9" t="str">
        <x:v>Medical kit</x:v>
      </x:c>
    </x:row>
    <x:row r="10">
      <x:c r="A10" t="str">
        <x:v>Navigation/Lighting</x:v>
      </x:c>
      <x:c r="B10"/>
      <x:c r="C10"/>
      <x:c r="D10"/>
      <x:c r="E10"/>
      <x:c r="F10" t="str">
        <x:v>Fire kit</x:v>
      </x:c>
    </x:row>
    <x:row r="11">
      <x:c r="A11" t="str">
        <x:v>Clothing</x:v>
      </x:c>
      <x:c r="B11"/>
      <x:c r="C11"/>
      <x:c r="D11"/>
      <x:c r="E11"/>
      <x:c r="F11"/>
    </x:row>
    <x:row r="12">
      <x:c r="A12" t="str">
        <x:v>Hygiene/Waste</x:v>
      </x:c>
      <x:c r="B12"/>
      <x:c r="C12"/>
      <x:c r="D12"/>
      <x:c r="E12"/>
      <x:c r="F12"/>
    </x:row>
    <x:row r="13">
      <x:c r="A13" t="str">
        <x:v>Shared Group Gear</x:v>
      </x:c>
      <x:c r="B13"/>
      <x:c r="C13"/>
      <x:c r="D13"/>
      <x:c r="E13"/>
      <x:c r="F13"/>
    </x:row>
    <x:row r="14">
      <x:c r="A14" t="str">
        <x:v>Vehicle Cache</x:v>
      </x:c>
      <x:c r="B14"/>
      <x:c r="C14"/>
      <x:c r="D14"/>
      <x:c r="E14"/>
      <x:c r="F14"/>
    </x:row>
  </x:sheetData>
  <x:pageMargins left="0.7" right="0.7" top="0.75" bottom="0.75" header="0.3" footer="0.3"/>
</x:worksheet>
</file>