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03309/rei-co-op-trail-hut-2-tent-with-footpri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klymit.com/products/insulated-static-v-peak-sleeping-pads"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walmart.com/ip/911283406"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amazon.com/dp/B07C46QPTR"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rei.com/product/246033/black-diamond-distance-carbon-z-trekking-poles-pair" TargetMode="External" Id="rId69" /><Relationship Type="http://schemas.openxmlformats.org/officeDocument/2006/relationships/hyperlink" Target="https://www.amazon.com/Hit-Delights-Backpacking-Insulation-Lightweight/dp/B06XCWC6T9"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amazon.com/Alpine-Swiss-Sandals-Adjustable-Athletic/dp/B09G4P66R5"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www.rei.com/product/185226/xero-shoes-z-trail-ev-sandals-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product/165398/rei-co-op-merino-wool-lightweight-hiking-crew-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sealskinzusa.com/products/waterproof-all-weather-mid-length-sock" TargetMode="External" Id="rId81" /><Relationship Type="http://schemas.openxmlformats.org/officeDocument/2006/relationships/hyperlink" Target="https://www.froggtoggs.com/products/the-frogg-toggsr-ultra-lite2tm-4749"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rei.com/product/166198/outdoor-research-helium-rain-jacket-mens" TargetMode="External" Id="rId84" /><Relationship Type="http://schemas.openxmlformats.org/officeDocument/2006/relationships/hyperlink" Target="https://slickdeals.net/f/17521533-decathlon-forclaz-mt100-hooded-down-puffer-jacket-40"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enlightenedequipment.com/mens-torrid-jacket/" TargetMode="External" Id="rId87" /><Relationship Type="http://schemas.openxmlformats.org/officeDocument/2006/relationships/hyperlink" Target="https://www.decathlon.com/products/mens-hiking-fleece-mh100-312361"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erino.tech/products/men-250-base-layer-set-wool-clothing"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www.rei.com/product/139520/icebreaker-200-oasis-half-zip-base-layer-top-mens" TargetMode="External" Id="rId93" /><Relationship Type="http://schemas.openxmlformats.org/officeDocument/2006/relationships/hyperlink" Target="https://www.rei.com/product/236137/rei-co-op-trailmade-pants-mens"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product/134025/prana-stretch-zion-straight-pants-mens" TargetMode="External" Id="rId96" /><Relationship Type="http://schemas.openxmlformats.org/officeDocument/2006/relationships/hyperlink" Target="https://www.amazon.com/Wmcaps-Winter-Beanie-Hats-for-Men-Women-Fleece-Lined-Beanie-Soft-Warm-Knit-Hat-Ski-Stocking-Cuffed-Cap/dp/B0BBZZZH84"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rei.com/product/217179/smartwool-merino-250-reversible-pattern-cuffed-beanie" TargetMode="External" Id="rId99" /><Relationship Type="http://schemas.openxmlformats.org/officeDocument/2006/relationships/hyperlink" Target="https://www.walmart.com/ip/2844295050"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opossumworld.com/collections/mens-gloves/possum-merino"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bedrocksandals.com/products/cairn-evo"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45087389" TargetMode="External" Id="rId116" /><Relationship Type="http://schemas.openxmlformats.org/officeDocument/2006/relationships/hyperlink" Target="https://fishwest.com/products/simms-tributary-stockingfoot-waders-mens"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amazon.com/NoCry-Home-Gardening-Knee-Pads/dp/B06XJ2BFW7"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blogs/journal/gold-classifier-screens-mesh-sizes-guide"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Complete-Sluice-Equipment-Prospecting-Magnifier/dp/B0DBKVTLM7"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www.amazon.com/Magnifier-Portable-Keychain-Diamonds-Antiques/dp/B09B1ZBY47"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cooltools.us/products/loupe-triplet-10x" TargetMode="External" Id="rId138" /><Relationship Type="http://schemas.openxmlformats.org/officeDocument/2006/relationships/hyperlink" Target="https://www.walmart.com/ip/Fiskars-Indoor-and-More-Garden-Trowel-Soil-Scoop-Black/5371466767"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8"/>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(added 2026-09-21)</t>
        </is>
      </c>
    </row>
    <row r="19" ht="30" customHeight="1">
      <c r="B19"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0">
      <c r="B20" s="3" t="inlineStr">
        <is>
          <t>Tier oddities</t>
        </is>
      </c>
    </row>
    <row r="21" ht="30" customHeight="1">
      <c r="B21"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2">
      <c r="B22" s="3" t="inlineStr">
        <is>
          <t>Sources &amp; date</t>
        </is>
      </c>
    </row>
    <row r="23" ht="30" customHeight="1">
      <c r="B23"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5">
      <c r="B25" s="5" t="inlineStr">
        <is>
          <t>Tier color key:</t>
        </is>
      </c>
    </row>
    <row r="26">
      <c r="B26" s="6" t="inlineStr">
        <is>
          <t>Budget</t>
        </is>
      </c>
    </row>
    <row r="27">
      <c r="B27" s="7" t="inlineStr">
        <is>
          <t>Value</t>
        </is>
      </c>
    </row>
    <row r="28">
      <c r="B28"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(shared, split w/ tentmate)</t>
        </is>
      </c>
      <c r="C9" s="10" t="inlineStr">
        <is>
          <t>tent_shelter</t>
        </is>
      </c>
      <c r="D9" s="10" t="inlineStr">
        <is>
          <t>must</t>
        </is>
      </c>
      <c r="E9" s="10" t="inlineStr">
        <is>
          <t>Value</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backup/colder-margin option</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RECOMMENDED default, beginner-safe</t>
        </is>
      </c>
      <c r="C11" s="10" t="inlineStr">
        <is>
          <t>sleep_system_30f</t>
        </is>
      </c>
      <c r="D11" s="10" t="inlineStr">
        <is>
          <t>must</t>
        </is>
      </c>
      <c r="E11" s="10" t="inlineStr">
        <is>
          <t>Budget</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insulated R&gt;=4</t>
        </is>
      </c>
      <c r="C12" s="10" t="inlineStr">
        <is>
          <t>sleeping_pad</t>
        </is>
      </c>
      <c r="D12" s="10" t="inlineStr">
        <is>
          <t>must</t>
        </is>
      </c>
      <c r="E12" s="10" t="inlineStr">
        <is>
          <t>Value</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Value</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Value</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259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749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 Peak</t>
        </is>
      </c>
      <c r="D6" s="33" t="n">
        <v>25</v>
      </c>
      <c r="E6" s="34" t="n">
        <v>99.95</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BRS-3000T</t>
        </is>
      </c>
      <c r="D11" s="33" t="n">
        <v>0.9</v>
      </c>
      <c r="E11" s="34" t="n">
        <v>14.99</v>
      </c>
      <c r="F11" s="11" t="inlineStr">
        <is>
          <t>$10-13 (rarely resold, cheap enough people just buy new)</t>
        </is>
      </c>
      <c r="G11" s="11" t="n">
        <v>3</v>
      </c>
      <c r="H11" s="11" t="inlineStr">
        <is>
          <t>Fine for boiling water at a sheltered site; pair with a windscreen for cold mornings</t>
        </is>
      </c>
      <c r="I11" s="11" t="inlineStr">
        <is>
          <t>The r/Ultralight/backpacking go-to budget stove for years; QC varies canister to canister (some arms crack) but at this price most consider it disposable/spare-worthy. Weak in wind, fine for a sheltered Oct GA camp.</t>
        </is>
      </c>
      <c r="J11" s="11" t="inlineStr">
        <is>
          <t>Absurdly light; Cheap enough to carry a spare</t>
        </is>
      </c>
      <c r="K11" s="11" t="inlineStr">
        <is>
          <t>Flimsy pot supports; No wind protection/simmer control; QC variance reported</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Backpackers Trowel + basic hygiene bag</t>
        </is>
      </c>
      <c r="D24" s="33" t="n">
        <v>2</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39.99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219.95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Gabe Cloud Slide Sandals</t>
        </is>
      </c>
      <c r="D27" s="33" t="n">
        <v>6</v>
      </c>
      <c r="E27" s="34" t="n">
        <v>19.99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EV Sandals</t>
        </is>
      </c>
      <c r="V27" s="33" t="n">
        <v>8.800000000000001</v>
      </c>
      <c r="W27" s="34" t="n">
        <v>80</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2</v>
      </c>
      <c r="H28"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55</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Ultra-Lite2</t>
        </is>
      </c>
      <c r="D30" s="33" t="n">
        <v>5.5</v>
      </c>
      <c r="E30" s="34" t="n">
        <v>20</v>
      </c>
      <c r="F30" s="11" t="inlineStr">
        <is>
          <t>$8-12 used</t>
        </is>
      </c>
      <c r="G30" s="11" t="n">
        <v>4</v>
      </c>
      <c r="H30" s="11" t="inlineStr">
        <is>
          <t>Fine for the base-camp days; pack duct tape for field repairs on the overnight leg</t>
        </is>
      </c>
      <c r="I30" s="11" t="inlineStr">
        <is>
          <t>r/Ultralight regularly cites Frogg Toggs as the budget go-to — nonwoven fabric isn't durable or breathable, but a set can survive ~1,300 miles of use and costs a fraction of name-brand shells.</t>
        </is>
      </c>
      <c r="J30" s="11" t="inlineStr">
        <is>
          <t>cheapest usable rain shell that exists; very light; packs tiny</t>
        </is>
      </c>
      <c r="K30" s="11" t="inlineStr">
        <is>
          <t>zipper leaks in sustained rain; tears easily on brush; no pit zips/breathability</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Down Jacket</t>
        </is>
      </c>
      <c r="D31" s="33" t="n">
        <v>10.6</v>
      </c>
      <c r="E31" s="34" t="n">
        <v>45</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170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25</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100</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235</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80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Straight Pants (cargo version discontinued, replaced by current lineup)</t>
        </is>
      </c>
      <c r="V34" s="33" t="n">
        <v>14</v>
      </c>
      <c r="W34" s="34" t="n">
        <v>98</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28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Knit fleece gloves</t>
        </is>
      </c>
      <c r="D36" s="33" t="n">
        <v>2</v>
      </c>
      <c r="E36" s="34" t="n">
        <v>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Evo Adventure Sandals (current lineup; original Cairn Adventure Sandal discontinued)</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25</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28</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Neoprene Hip Waders</t>
        </is>
      </c>
      <c r="M41" s="33" t="n">
        <v>48</v>
      </c>
      <c r="N41" s="34" t="n">
        <v>55</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300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9</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16</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26</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45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3-4 Piece Crevice Pick Set</t>
        </is>
      </c>
      <c r="D46" s="33" t="n">
        <v>4</v>
      </c>
      <c r="E46" s="34" t="n">
        <v>9</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16</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t>
        </is>
      </c>
      <c r="M47" s="33" t="n">
        <v>1.5</v>
      </c>
      <c r="N47" s="34" t="n">
        <v>2</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19</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20</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9</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20.95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 -- beginner-safe pick)</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259</v>
      </c>
      <c r="I5" s="41" t="inlineStr">
        <is>
          <t>https://www.rei.com/product/C03309/rei-co-op-trail-hut-2-tent-with-footprint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749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 Peak</t>
        </is>
      </c>
      <c r="F11" s="39" t="n">
        <v>25</v>
      </c>
      <c r="G11" s="38" t="inlineStr">
        <is>
          <t>Insulated Static V lists ~25 oz per Klymit specs (Lite version 19.6 oz has lower R-value, check spec before buying — need the full Insulated, not the Lite/Base, to clear R4)</t>
        </is>
      </c>
      <c r="H11" s="40" t="n">
        <v>99.95</v>
      </c>
      <c r="I11" s="41" t="inlineStr">
        <is>
          <t>https://klymit.com/products/insulated-static-v-peak-sleeping-pads</t>
        </is>
      </c>
      <c r="J11" s="38" t="inlineStr">
        <is>
          <t>$25-40 on GearTrade/Facebook Marketplace</t>
        </is>
      </c>
      <c r="K11" s="38" t="inlineStr">
        <is>
          <t>Klymit.com, REI, Amazon</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BRS</t>
        </is>
      </c>
      <c r="E26" s="37" t="inlineStr">
        <is>
          <t>BRS-3000T</t>
        </is>
      </c>
      <c r="F26" s="39" t="n">
        <v>0.9</v>
      </c>
      <c r="G26" s="38" t="inlineStr">
        <is>
          <t>spec 25g/0.88oz; real-world with case ~1.0oz — widely confirmed by owners, lightest canister stove sold</t>
        </is>
      </c>
      <c r="H26" s="40" t="n">
        <v>14.99</v>
      </c>
      <c r="I26" s="41" t="inlineStr">
        <is>
          <t>https://www.walmart.com/ip/911283406</t>
        </is>
      </c>
      <c r="J26" s="38" t="inlineStr">
        <is>
          <t>$10-13 (rarely resold, cheap enough people just buy new)</t>
        </is>
      </c>
      <c r="K26" s="38" t="inlineStr">
        <is>
          <t>Amazon, Walmart, AliExpress</t>
        </is>
      </c>
      <c r="L26" s="38" t="inlineStr">
        <is>
          <t>The r/Ultralight/backpacking go-to budget stove for years; QC varies canister to canister (some arms crack) but at this price most consider it disposable/spare-worthy. Weak in wind, fine for a sheltered Oct GA camp.</t>
        </is>
      </c>
      <c r="M26" s="38" t="inlineStr">
        <is>
          <t>https://www.backpacker.com/gear/ultralight-backpacking-canister-stove-brs-3000t/, https://www.walmart.com/ip/911283406</t>
        </is>
      </c>
      <c r="N26" s="38" t="inlineStr">
        <is>
          <t>Absurdly light; Cheap enough to carry a spare</t>
        </is>
      </c>
      <c r="O26" s="38" t="inlineStr">
        <is>
          <t>Flimsy pot supports; No wind protection/simmer control; QC variance reported</t>
        </is>
      </c>
      <c r="P26" s="38" t="inlineStr">
        <is>
          <t>Fine for boiling water at a sheltered site; pair with a windscreen for cold mornings</t>
        </is>
      </c>
      <c r="Q26" s="37" t="n">
        <v>3</v>
      </c>
      <c r="R26" s="37" t="n">
        <v>6</v>
      </c>
      <c r="S26" s="38" t="inlineStr">
        <is>
          <t>Group's single stove — his cost share $2.50 (1/6 of $14.99)</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still needs to sleep in the bag on the cold night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Backpackers Trowel + basic hygiene bag</t>
        </is>
      </c>
      <c r="F65" s="39" t="n">
        <v>2</v>
      </c>
      <c r="G65" s="38" t="inlineStr">
        <is>
          <t>typical plastic trowel weight ~1.5oz + small TP/sanitizer bag ~0.5oz, EST from category norms</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is>
          <t>TIER ODDITY: Budget ($8.75) costs more than Value ($7.95) in this category -- kept as sourced.</t>
        </is>
      </c>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is>
          <t>TIER ODDITY: Value ($7.95) is cheaper than Budget ($8.75) in this category -- kept as sourced.</t>
        </is>
      </c>
      <c r="T66">
        <f>A66&amp;"|"&amp;C66</f>
        <v/>
      </c>
    </row>
    <row r="67">
      <c r="A67" s="37" t="inlineStr">
        <is>
          <t>toiletries/trowel</t>
        </is>
      </c>
      <c r="B67" s="38" t="inlineStr">
        <is>
          <t>personal trowel + hygiene kit</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39.99</v>
      </c>
      <c r="I68" s="41" t="inlineStr">
        <is>
          <t>https://www.amazon.com/dp/B07C46QPTR</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219.95</v>
      </c>
      <c r="I70" s="41" t="inlineStr">
        <is>
          <t>https://www.rei.com/product/246033/black-diamond-distance-carbon-z-trekking-poles-pair</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https://www.amazon.com/Hit-Delights-Backpacking-Insulation-Lightweight/dp/B06XCWC6T9</t>
        </is>
      </c>
      <c r="J71" s="38" t="inlineStr">
        <is>
          <t>n/a</t>
        </is>
      </c>
      <c r="K71" s="38" t="inlineStr">
        <is>
          <t>scrap cut from any CCF sleeping pad (link is a cheap CCF pad to cut from if none on hand, ~$11)</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Alpine Swiss</t>
        </is>
      </c>
      <c r="E74" s="37" t="inlineStr">
        <is>
          <t>Gabe Cloud Slide Sandals</t>
        </is>
      </c>
      <c r="F74" s="39" t="n">
        <v>6</v>
      </c>
      <c r="G74" s="38" t="inlineStr">
        <is>
          <t>typical foam slide pair weight, EST from category norms</t>
        </is>
      </c>
      <c r="H74" s="40" t="n">
        <v>19.99</v>
      </c>
      <c r="I74" s="41" t="inlineStr">
        <is>
          <t>https://www.amazon.com/Alpine-Swiss-Sandals-Adjustable-Athletic/dp/B09G4P66R5</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EV Sandals</t>
        </is>
      </c>
      <c r="F76" s="39" t="n">
        <v>8.800000000000001</v>
      </c>
      <c r="G76" s="38" t="inlineStr">
        <is>
          <t>Xero Shoes spec ~8.8oz per pair (size-dependent)</t>
        </is>
      </c>
      <c r="H76" s="40" t="n">
        <v>80</v>
      </c>
      <c r="I76" s="41" t="inlineStr">
        <is>
          <t>https://www.rei.com/product/185226/xero-shoes-z-trail-ev-sandals-mens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77" s="37" t="n">
        <v>2</v>
      </c>
      <c r="R77" s="37" t="n">
        <v>1</v>
      </c>
      <c r="S77" s="38" t="inlineStr">
        <is>
          <t>Only use if already broken in — do not wear brand-new unbroken shoes on the trip. Not the recommended default for beginners on this trip; pair with the neoprene wading sock / water shoe options below for cold creek work</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https://www.rei.com/product/165398/rei-co-op-merino-wool-lightweight-hiking-crew-socks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55</v>
      </c>
      <c r="I82" s="41" t="inlineStr">
        <is>
          <t>https://www.sealskinzusa.com/products/waterproof-all-weather-mid-length-sock</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Frogg Toggs</t>
        </is>
      </c>
      <c r="E83" s="37" t="inlineStr">
        <is>
          <t>Ultra-Lite2</t>
        </is>
      </c>
      <c r="F83" s="39" t="n">
        <v>5.5</v>
      </c>
      <c r="G83" s="38" t="inlineStr">
        <is>
          <t>per Frogg Toggs spec</t>
        </is>
      </c>
      <c r="H83" s="40" t="n">
        <v>20</v>
      </c>
      <c r="I83" s="41" t="inlineStr">
        <is>
          <t>https://www.froggtoggs.com/products/the-frogg-toggsr-ultra-lite2tm-4749</t>
        </is>
      </c>
      <c r="J83" s="38" t="inlineStr">
        <is>
          <t>$8-12 used</t>
        </is>
      </c>
      <c r="K83" s="38" t="inlineStr">
        <is>
          <t>Froggtoggs.com, Walmart, Amazon</t>
        </is>
      </c>
      <c r="L83" s="38" t="inlineStr">
        <is>
          <t>r/Ultralight regularly cites Frogg Toggs as the budget go-to — nonwoven fabric isn't durable or breathable, but a set can survive ~1,300 miles of use and costs a fraction of name-brand shells.</t>
        </is>
      </c>
      <c r="M83" s="38" t="inlineStr">
        <is>
          <t>https://sectionhiker.com/10-best-backpacking-rain-jackets/, https://www.froggtoggs.com/products/the-frogg-toggsr-ultra-lite2tm-4749</t>
        </is>
      </c>
      <c r="N83" s="38" t="inlineStr">
        <is>
          <t>cheapest usable rain shell that exists; very light; packs tiny</t>
        </is>
      </c>
      <c r="O83" s="38" t="inlineStr">
        <is>
          <t>zipper leaks in sustained rain; tears easily on brush; no pit zips/breathability</t>
        </is>
      </c>
      <c r="P83" s="38" t="inlineStr">
        <is>
          <t>Fine for the base-camp days; pack duct tape for field repairs on the overnight leg</t>
        </is>
      </c>
      <c r="Q83" s="37" t="n">
        <v>4</v>
      </c>
      <c r="R83" s="37" t="n">
        <v>1</v>
      </c>
      <c r="S83" s="38" t="inlineStr">
        <is>
          <t>Buy a size up — cut runs slim</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https://www.rei.com/product/166198/outdoor-research-helium-rain-jacket-mens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(Forclaz)</t>
        </is>
      </c>
      <c r="E86" s="37" t="inlineStr">
        <is>
          <t>MT100 Down Jacket</t>
        </is>
      </c>
      <c r="F86" s="39" t="n">
        <v>10.6</v>
      </c>
      <c r="G86" s="38" t="inlineStr">
        <is>
          <t>packable down jacket, per Decathlon/GearJunkie</t>
        </is>
      </c>
      <c r="H86" s="40" t="n">
        <v>45</v>
      </c>
      <c r="I86" s="41" t="inlineStr">
        <is>
          <t>https://slickdeals.net/f/17521533-decathlon-forclaz-mt100-hooded-down-puffer-jacket-40</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($170.00)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170</v>
      </c>
      <c r="I88" s="41" t="inlineStr">
        <is>
          <t>https://enlightenedequipment.com/mens-torrid-jacket/</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($170.00)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25</v>
      </c>
      <c r="I89" s="41" t="inlineStr">
        <is>
          <t>https://www.decathlon.com/products/mens-hiking-fleece-mh100-312361</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100</v>
      </c>
      <c r="I92" s="41" t="inlineStr">
        <is>
          <t>https://merino.tech/products/men-250-base-layer-set-wool-clothing</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 | TIER ODDITY: Budget ($100.00) costs more than Value ($95.00) in this category -- kept as sourced.</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is>
          <t>TIER ODDITY: Value ($95.00) is cheaper than Budget ($100.00) in this category -- kept as sourced.</t>
        </is>
      </c>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235</v>
      </c>
      <c r="I94" s="41" t="inlineStr">
        <is>
          <t>https://www.rei.com/product/139520/icebreaker-200-oasis-half-zip-base-layer-top-mens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80</v>
      </c>
      <c r="I95" s="41" t="inlineStr">
        <is>
          <t>https://www.rei.com/product/236137/rei-co-op-trailmade-pants-mens</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Straight Pants (cargo version discontinued, replaced by current lineup)</t>
        </is>
      </c>
      <c r="F97" s="39" t="n">
        <v>14</v>
      </c>
      <c r="G97" s="38" t="inlineStr">
        <is>
          <t>per prAna spec, recycled nylon</t>
        </is>
      </c>
      <c r="H97" s="40" t="n">
        <v>98</v>
      </c>
      <c r="I97" s="41" t="inlineStr">
        <is>
          <t>https://www.rei.com/product/134025/prana-stretch-zion-straight-pants-mens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https://www.amazon.com/Wmcaps-Winter-Beanie-Hats-for-Men-Women-Fleece-Lined-Beanie-Soft-Warm-Knit-Hat-Ski-Stocking-Cuffed-Cap/dp/B0BBZZZH84</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28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https://www.rei.com/product/217179/smartwool-merino-250-reversible-pattern-cuffed-beanie</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c r="T100">
        <f>A100&amp;"|"&amp;C100</f>
        <v/>
      </c>
    </row>
    <row r="101">
      <c r="A101" s="37" t="inlineStr">
        <is>
          <t>light_gloves</t>
        </is>
      </c>
      <c r="B101" s="38" t="inlineStr">
        <is>
          <t>Light liner gloves for cold mornings/hiking (not panning gloves)</t>
        </is>
      </c>
      <c r="C101" s="37" t="inlineStr">
        <is>
          <t>Budget</t>
        </is>
      </c>
      <c r="D101" s="37" t="inlineStr">
        <is>
          <t>Generic</t>
        </is>
      </c>
      <c r="E101" s="37" t="inlineStr">
        <is>
          <t>Knit fleece gloves</t>
        </is>
      </c>
      <c r="F101" s="39" t="n">
        <v>2</v>
      </c>
      <c r="G101" s="38" t="inlineStr">
        <is>
          <t>typical knit glove pair</t>
        </is>
      </c>
      <c r="H101" s="40" t="n">
        <v>9</v>
      </c>
      <c r="I101" s="41" t="inlineStr">
        <is>
          <t>https://www.walmart.com/ip/2844295050</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https://opossumworld.com/collections/mens-gloves/possum-merino</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Evo Adventure Sandals (current lineup; original Cairn Adventure Sandal discontinued)</t>
        </is>
      </c>
      <c r="F109" s="39" t="n">
        <v>11</v>
      </c>
      <c r="G109" s="38" t="inlineStr">
        <is>
          <t>per Bedrock Sandals spec, per pair</t>
        </is>
      </c>
      <c r="H109" s="40" t="n">
        <v>115</v>
      </c>
      <c r="I109" s="41" t="inlineStr">
        <is>
          <t>https://bedrocksandals.com/products/cairn-evo</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t>
        </is>
      </c>
      <c r="H113" s="40" t="n">
        <v>25</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c r="T113">
        <f>A113&amp;"|"&amp;C113</f>
        <v/>
      </c>
    </row>
    <row r="114">
      <c r="A114" s="37" t="inlineStr">
        <is>
          <t>neoprene_socks_wading</t>
        </is>
      </c>
      <c r="B114" s="38" t="inlineStr">
        <is>
          <t>Neoprene socks for feet in 50F creek water</t>
        </is>
      </c>
      <c r="C114" s="37" t="inlineStr">
        <is>
          <t>Value</t>
        </is>
      </c>
      <c r="D114" s="37" t="inlineStr">
        <is>
          <t>NeoSport / Level Six</t>
        </is>
      </c>
      <c r="E114" s="37" t="inlineStr">
        <is>
          <t>3mm Neoprene Wading/Water Socks</t>
        </is>
      </c>
      <c r="F114" s="39" t="n">
        <v>6.5</v>
      </c>
      <c r="G114" s="38" t="inlineStr">
        <is>
          <t>per pair, typical 3mm dive/water sock</t>
        </is>
      </c>
      <c r="H114" s="40" t="n">
        <v>28</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 / Caddis</t>
        </is>
      </c>
      <c r="E117" s="37" t="inlineStr">
        <is>
          <t>Neoprene Hip Waders</t>
        </is>
      </c>
      <c r="F117" s="39" t="n">
        <v>48</v>
      </c>
      <c r="G117" s="38" t="inlineStr">
        <is>
          <t>~3 lb, typical neoprene hip wader pair</t>
        </is>
      </c>
      <c r="H117" s="40" t="n">
        <v>55</v>
      </c>
      <c r="I117" s="41" t="inlineStr">
        <is>
          <t>https://www.walmart.com/ip/45087389</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https://www.walmart.com/ip/45087389</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300</v>
      </c>
      <c r="I118" s="41" t="inlineStr">
        <is>
          <t>https://fishwest.com/products/simms-tributary-stockingfoot-waders-mens</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https://www.amazon.com/NoCry-Home-Gardening-Knee-Pads/dp/B06XJ2BFW7</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t>
        </is>
      </c>
      <c r="H122" s="40" t="n">
        <v>9</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16</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26</v>
      </c>
      <c r="I125" s="41" t="inlineStr">
        <is>
          <t>https://asroutdoor.com/blogs/journal/gold-classifier-screens-mesh-sizes-guide</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45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6</v>
      </c>
      <c r="S126" s="38" t="inlineStr">
        <is>
          <t>One shared set at the base-camp pan-out station, split 6 ways, rather than one per person</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Generic</t>
        </is>
      </c>
      <c r="E131" s="37" t="inlineStr">
        <is>
          <t>3-4 Piece Crevice Pick Set</t>
        </is>
      </c>
      <c r="F131" s="39" t="n">
        <v>4</v>
      </c>
      <c r="G131" s="38" t="inlineStr">
        <is>
          <t>per set</t>
        </is>
      </c>
      <c r="H131" s="40" t="n">
        <v>9</v>
      </c>
      <c r="I131" s="41" t="inlineStr">
        <is>
          <t>https://www.amazon.com/Complete-Sluice-Equipment-Prospecting-Magnifier/dp/B0DBKVTLM7</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https://www.amazon.com/Complete-Sluice-Equipment-Prospecting-Magnifier/dp/B0DBKVTLM7</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16</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is>
          <t>TIER ODDITY: Budget ($5.00) costs more than Value ($2.00) in this category -- kept as sourced.</t>
        </is>
      </c>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t>
        </is>
      </c>
      <c r="F135" s="39" t="n">
        <v>1.5</v>
      </c>
      <c r="G135" s="38" t="inlineStr">
        <is>
          <t>per vial</t>
        </is>
      </c>
      <c r="H135" s="40" t="n">
        <v>2</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($2.00) is cheaper than Budget ($5.00) in this category -- kept as sourced.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19</v>
      </c>
      <c r="I137" s="41" t="inlineStr">
        <is>
          <t>https://www.amazon.com/Magnifier-Portable-Keychain-Diamonds-Antiques/dp/B09B1ZBY47</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is>
          <t>TIER ODDITY: Budget ($19.00) costs more than Value ($13.00) in this category -- kept as sourced.</t>
        </is>
      </c>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is>
          <t>TIER ODDITY: Value ($13.00) is cheaper than Budget ($19.00) in this category -- kept as sourced.</t>
        </is>
      </c>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20</v>
      </c>
      <c r="I139" s="41" t="inlineStr">
        <is>
          <t>https://cooltools.us/products/loupe-triplet-10x</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9</v>
      </c>
      <c r="I140" s="41" t="inlineStr">
        <is>
          <t>https://www.walmart.com/ip/Fiskars-Indoor-and-More-Garden-Trowel-Soil-Scoop-Black/5371466767</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20.95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 -- beginner-safe pick)</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 -- zippered synthetic bag is the beginner-safe choice for freezing/damp deer-season nights (no draft-sealing technique to learn)</t>
        </is>
      </c>
      <c r="T149">
        <f>A149&amp;"|"&amp;C149</f>
        <v/>
      </c>
    </row>
    <row r="150">
      <c r="A150" s="37" t="inlineStr">
        <is>
          <t>sleep_system_30f</t>
        </is>
      </c>
      <c r="B150" s="38" t="inlineStr">
        <is>
          <t>30F-rated sleeping bag/quilt (upgrade option, not the default -- BEGINNER CAUTION: quilt)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0">
        <f>A150&amp;"|"&amp;C150</f>
        <v/>
      </c>
    </row>
    <row r="151">
      <c r="A151" s="37" t="inlineStr">
        <is>
          <t>sleep_system_30f</t>
        </is>
      </c>
      <c r="B151" s="38" t="inlineStr">
        <is>
          <t>30F-rated sleeping bag/quilt (upgrade option, not the default -- BEGINNER CAUTION: quilt)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2026-09-23T13:51:57Z</dcterms:created>
  <dcterms:modified xsi:type="dcterms:W3CDTF">2026-09-23T13:51:57Z</dcterms:modified>
</cp:coreProperties>
</file>